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500" firstSheet="0" activeTab="4" autoFilterDateGrouping="1"/>
  </bookViews>
  <sheets>
    <sheet name="Summary" sheetId="1" state="visible" r:id="rId1"/>
    <sheet name="Test Data" sheetId="2" state="visible" r:id="rId2"/>
    <sheet name="Test Files" sheetId="3" state="visible" r:id="rId3"/>
    <sheet name="Assumptions" sheetId="4" state="visible" r:id="rId4"/>
    <sheet name="Buyer" sheetId="5" state="visible" r:id="rId5"/>
    <sheet name="Seller" sheetId="6" state="visible" r:id="rId6"/>
    <sheet name="Logistics" sheetId="7" state="visible" r:id="rId7"/>
    <sheet name="Rider" sheetId="8" state="visible" r:id="rId8"/>
  </sheets>
  <definedNames>
    <definedName name="_xlnm._FilterDatabase" localSheetId="4" hidden="1">'Buyer'!$A$1:$M$31</definedName>
    <definedName name="_xlnm.Print_Titles" localSheetId="4">'Buyer'!$1:$1</definedName>
    <definedName name="_xlnm._FilterDatabase" localSheetId="5" hidden="1">'Seller'!$A$1:$M$45</definedName>
    <definedName name="_xlnm.Print_Titles" localSheetId="5">'Seller'!$1:$1</definedName>
    <definedName name="_xlnm._FilterDatabase" localSheetId="6" hidden="1">'Logistics'!$A$1:$M$45</definedName>
    <definedName name="_xlnm.Print_Titles" localSheetId="6">'Logistics'!$1:$1</definedName>
    <definedName name="_xlnm._FilterDatabase" localSheetId="7" hidden="1">'Rider'!$A$1:$M$33</definedName>
    <definedName name="_xlnm.Print_Titles" localSheetId="7">'Rider'!$1:$1</definedName>
  </definedNames>
  <calcPr calcId="191029" fullCalcOnLoad="1"/>
</workbook>
</file>

<file path=xl/styles.xml><?xml version="1.0" encoding="utf-8"?>
<styleSheet xmlns="http://schemas.openxmlformats.org/spreadsheetml/2006/main">
  <numFmts count="1">
    <numFmt numFmtId="164" formatCode="0.0%"/>
  </numFmts>
  <fonts count="7">
    <font>
      <name val="Calibri"/>
      <charset val="1"/>
      <color theme="1"/>
      <sz val="11"/>
    </font>
    <font>
      <name val="Arial"/>
      <charset val="1"/>
      <b val="1"/>
      <color rgb="FFFFFFFF"/>
      <sz val="10"/>
    </font>
    <font>
      <name val="Arial"/>
      <charset val="1"/>
      <b val="1"/>
      <sz val="10"/>
    </font>
    <font>
      <name val="Arial"/>
      <charset val="1"/>
      <sz val="10"/>
    </font>
    <font>
      <name val="Arial"/>
      <charset val="1"/>
      <b val="1"/>
      <color rgb="FF1F3864"/>
      <sz val="14"/>
    </font>
    <font>
      <name val="Arial"/>
      <charset val="1"/>
      <b val="1"/>
      <color rgb="FF1F3864"/>
      <sz val="11"/>
    </font>
    <font>
      <name val="Arial"/>
      <charset val="1"/>
      <i val="1"/>
      <sz val="10"/>
    </font>
  </fonts>
  <fills count="5">
    <fill>
      <patternFill/>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3" fillId="3" borderId="1" applyAlignment="1" pivotButton="0" quotePrefix="0" xfId="0">
      <alignment vertical="top" wrapText="1"/>
    </xf>
    <xf numFmtId="0" fontId="3" fillId="3" borderId="1" applyAlignment="1" pivotButton="0" quotePrefix="0" xfId="0">
      <alignment horizontal="center" vertical="top" wrapText="1"/>
    </xf>
    <xf numFmtId="0" fontId="4" fillId="0" borderId="0" pivotButton="0" quotePrefix="0" xfId="0"/>
    <xf numFmtId="0" fontId="2" fillId="0" borderId="1" applyAlignment="1" pivotButton="0" quotePrefix="0" xfId="0">
      <alignment vertical="top" wrapText="1"/>
    </xf>
    <xf numFmtId="0" fontId="5" fillId="0" borderId="0" pivotButton="0" quotePrefix="0" xfId="0"/>
    <xf numFmtId="0" fontId="3" fillId="4"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3" fillId="3" borderId="1" pivotButton="0" quotePrefix="0" xfId="0"/>
    <xf numFmtId="0" fontId="2" fillId="0" borderId="1" applyAlignment="1" pivotButton="0" quotePrefix="0" xfId="0">
      <alignment horizontal="left" vertical="top"/>
    </xf>
    <xf numFmtId="0" fontId="3" fillId="0" borderId="1" applyAlignment="1" pivotButton="0" quotePrefix="0" xfId="0">
      <alignment horizontal="center" vertical="top"/>
    </xf>
    <xf numFmtId="164" fontId="3" fillId="0" borderId="1" applyAlignment="1" pivotButton="0" quotePrefix="0" xfId="0">
      <alignment horizontal="center" vertical="top"/>
    </xf>
    <xf numFmtId="0" fontId="2" fillId="4" borderId="1" applyAlignment="1" pivotButton="0" quotePrefix="0" xfId="0">
      <alignment horizontal="left" vertical="top"/>
    </xf>
    <xf numFmtId="0" fontId="2" fillId="4" borderId="1" applyAlignment="1" pivotButton="0" quotePrefix="0" xfId="0">
      <alignment horizontal="center" vertical="top"/>
    </xf>
    <xf numFmtId="164" fontId="2" fillId="4" borderId="1" applyAlignment="1" pivotButton="0" quotePrefix="0" xfId="0">
      <alignment horizontal="center" vertical="top"/>
    </xf>
    <xf numFmtId="0" fontId="6" fillId="0" borderId="1" applyAlignment="1" pivotButton="0" quotePrefix="0" xfId="0">
      <alignment vertical="top" wrapText="1"/>
    </xf>
    <xf numFmtId="0" fontId="6" fillId="3" borderId="1" applyAlignment="1" pivotButton="0" quotePrefix="0" xfId="0">
      <alignment vertical="top" wrapText="1"/>
    </xf>
    <xf numFmtId="0" fontId="3" fillId="0" borderId="0"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164" fontId="3" fillId="0" borderId="1" applyAlignment="1" pivotButton="0" quotePrefix="0" xfId="0">
      <alignment horizontal="center" vertical="top"/>
    </xf>
    <xf numFmtId="164" fontId="2" fillId="4" borderId="1" applyAlignment="1" pivotButton="0" quotePrefix="0" xfId="0">
      <alignment horizontal="center" vertical="top"/>
    </xf>
    <xf numFmtId="0" fontId="0" fillId="0" borderId="4" pivotButton="0" quotePrefix="0" xfId="0"/>
    <xf numFmtId="0" fontId="0" fillId="0" borderId="5" pivotButton="0" quotePrefix="0" xfId="0"/>
  </cellXfs>
  <cellStyles count="1">
    <cellStyle name="Normal" xfId="0" builtinId="0"/>
  </cellStyles>
  <dxfs count="29">
    <dxf>
      <font>
        <name val="Arial"/>
        <charset val="1"/>
        <b val="1"/>
        <color rgb="FF8A4B00"/>
        <sz val="10"/>
      </font>
      <fill>
        <patternFill patternType="solid">
          <bgColor rgb="FFFFE0B2"/>
        </patternFill>
      </fill>
    </dxf>
    <dxf>
      <font>
        <name val="Arial"/>
        <charset val="1"/>
        <b val="1"/>
        <color rgb="FF9C0006"/>
        <sz val="10"/>
      </font>
      <fill>
        <patternFill patternType="solid">
          <bgColor rgb="FFFFC7CE"/>
        </patternFill>
      </fill>
    </dxf>
    <dxf>
      <font>
        <name val="Arial"/>
        <charset val="1"/>
        <b val="1"/>
        <color rgb="FF006100"/>
        <sz val="10"/>
      </font>
      <fill>
        <patternFill patternType="solid">
          <bgColor rgb="FFC6EFCE"/>
        </patternFill>
      </fill>
    </dxf>
    <dxf>
      <font>
        <name val="Arial"/>
        <charset val="1"/>
        <b val="1"/>
        <color rgb="FF8A4B00"/>
        <sz val="10"/>
      </font>
      <fill>
        <patternFill patternType="solid">
          <bgColor rgb="FFFFE0B2"/>
        </patternFill>
      </fill>
    </dxf>
    <dxf>
      <font>
        <name val="Arial"/>
        <charset val="1"/>
        <b val="1"/>
        <color rgb="FF9C0006"/>
        <sz val="10"/>
      </font>
      <fill>
        <patternFill patternType="solid">
          <bgColor rgb="FFFFC7CE"/>
        </patternFill>
      </fill>
    </dxf>
    <dxf>
      <font>
        <name val="Arial"/>
        <charset val="1"/>
        <b val="1"/>
        <color rgb="FF006100"/>
        <sz val="10"/>
      </font>
      <fill>
        <patternFill patternType="solid">
          <bgColor rgb="FFC6EFCE"/>
        </patternFill>
      </fill>
    </dxf>
    <dxf>
      <font>
        <name val="Arial"/>
        <charset val="1"/>
        <b val="1"/>
        <color rgb="FF8A4B00"/>
        <sz val="10"/>
      </font>
      <fill>
        <patternFill patternType="solid">
          <bgColor rgb="FFFFE0B2"/>
        </patternFill>
      </fill>
    </dxf>
    <dxf>
      <font>
        <name val="Arial"/>
        <charset val="1"/>
        <b val="1"/>
        <color rgb="FF9C0006"/>
        <sz val="10"/>
      </font>
      <fill>
        <patternFill patternType="solid">
          <bgColor rgb="FFFFC7CE"/>
        </patternFill>
      </fill>
    </dxf>
    <dxf>
      <font>
        <name val="Arial"/>
        <charset val="1"/>
        <b val="1"/>
        <color rgb="FF006100"/>
        <sz val="10"/>
      </font>
      <fill>
        <patternFill patternType="solid">
          <bgColor rgb="FFC6EFCE"/>
        </patternFill>
      </fill>
    </dxf>
    <dxf>
      <font>
        <name val="Arial"/>
        <charset val="1"/>
        <b val="1"/>
        <color rgb="FF8A4B00"/>
        <sz val="10"/>
      </font>
      <fill>
        <patternFill patternType="solid">
          <bgColor rgb="FFFFE0B2"/>
        </patternFill>
      </fill>
    </dxf>
    <dxf>
      <font>
        <name val="Arial"/>
        <charset val="1"/>
        <b val="1"/>
        <color rgb="FF9C0006"/>
        <sz val="10"/>
      </font>
      <fill>
        <patternFill patternType="solid">
          <bgColor rgb="FFFFC7CE"/>
        </patternFill>
      </fill>
    </dxf>
    <dxf>
      <font>
        <name val="Arial"/>
        <charset val="1"/>
        <b val="1"/>
        <color rgb="FF006100"/>
        <sz val="10"/>
      </font>
      <fill>
        <patternFill patternType="solid">
          <bgColor rgb="FFC6EF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FFC7CE"/>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E0B2"/>
      <rgbColor rgb="003366FF"/>
      <rgbColor rgb="0033CCCC"/>
      <rgbColor rgb="0099CC00"/>
      <rgbColor rgb="00FFCC00"/>
      <rgbColor rgb="00FF9900"/>
      <rgbColor rgb="00FF6600"/>
      <rgbColor rgb="00666699"/>
      <rgbColor rgb="00969696"/>
      <rgbColor rgb="001F3864"/>
      <rgbColor rgb="00339966"/>
      <rgbColor rgb="00003300"/>
      <rgbColor rgb="00333300"/>
      <rgbColor rgb="008A4B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0"/>
  <sheetViews>
    <sheetView showGridLines="0" topLeftCell="A2" zoomScale="129" zoomScaleNormal="129" workbookViewId="0">
      <selection activeCell="E4" sqref="E4"/>
    </sheetView>
  </sheetViews>
  <sheetFormatPr baseColWidth="8" defaultColWidth="8.6640625" defaultRowHeight="14.4"/>
  <cols>
    <col width="26" customWidth="1" min="1" max="1"/>
    <col width="34" customWidth="1" min="2" max="4"/>
    <col width="14" customWidth="1" min="5" max="6"/>
    <col width="30" customWidth="1" min="7" max="7"/>
  </cols>
  <sheetData>
    <row r="1" ht="17.4" customHeight="1">
      <c r="A1" s="7" t="inlineStr">
        <is>
          <t> </t>
        </is>
      </c>
    </row>
    <row r="2">
      <c r="A2" s="12" t="inlineStr">
        <is>
          <t>Multi-role e-commerce system (Buyer, Seller, Logistics, Rider)</t>
        </is>
      </c>
    </row>
    <row r="4">
      <c r="A4" s="9" t="inlineStr">
        <is>
          <t>Test run details</t>
        </is>
      </c>
    </row>
    <row r="5">
      <c r="A5" s="24" t="inlineStr">
        <is>
          <t>System under test</t>
        </is>
      </c>
      <c r="B5" s="13" t="inlineStr">
        <is>
          <t>ZAYLO marketplace (zaylo-zyl.shop): account registration, email verification, approvals and role access</t>
        </is>
      </c>
    </row>
    <row r="6">
      <c r="A6" s="24" t="inlineStr">
        <is>
          <t>Version / build</t>
        </is>
      </c>
      <c r="B6" s="13" t="inlineStr">
        <is>
          <t>Branch zyl-web-branch (latest commit 2e48945, plus uncommitted work) as running on 12 Oct 2026</t>
        </is>
      </c>
    </row>
    <row r="7" ht="26.4" customHeight="1">
      <c r="A7" s="24" t="inlineStr">
        <is>
          <t>Test environment (browser, device)</t>
        </is>
      </c>
      <c r="B7" s="13" t="inlineStr">
        <is>
          <t>Test copy of the live database served locally (emails written to a log). Browser checks in Microsoft Edge (headless); form submissions sent over HTTP.</t>
        </is>
      </c>
    </row>
    <row r="8">
      <c r="A8" s="24" t="inlineStr">
        <is>
          <t>Tester</t>
        </is>
      </c>
      <c r="B8" s="13" t="inlineStr">
        <is>
          <t>Claude (automated run for Jan Reyben Del Mundo)</t>
        </is>
      </c>
    </row>
    <row r="9">
      <c r="A9" s="24" t="inlineStr">
        <is>
          <t>Date tested</t>
        </is>
      </c>
      <c r="B9" s="13" t="inlineStr">
        <is>
          <t>10/12/2026</t>
        </is>
      </c>
    </row>
    <row r="11">
      <c r="A11" s="9" t="inlineStr">
        <is>
          <t>Results by role</t>
        </is>
      </c>
    </row>
    <row r="12">
      <c r="A12" s="1" t="inlineStr">
        <is>
          <t>Role (sheet)</t>
        </is>
      </c>
      <c r="B12" s="1" t="inlineStr">
        <is>
          <t>Total test cases</t>
        </is>
      </c>
      <c r="C12" s="1" t="inlineStr">
        <is>
          <t>Pass</t>
        </is>
      </c>
      <c r="D12" s="1" t="inlineStr">
        <is>
          <t>Fail</t>
        </is>
      </c>
      <c r="E12" s="1" t="inlineStr">
        <is>
          <t>Blocked</t>
        </is>
      </c>
      <c r="F12" s="1" t="inlineStr">
        <is>
          <t>Not Run</t>
        </is>
      </c>
      <c r="G12" s="1" t="inlineStr">
        <is>
          <t>Pass rate (Pass / Total)</t>
        </is>
      </c>
    </row>
    <row r="13">
      <c r="A13" s="14" t="inlineStr">
        <is>
          <t>Buyer</t>
        </is>
      </c>
      <c r="B13" s="15">
        <f>COUNTA(Buyer!$A$2:$A$200)</f>
        <v/>
      </c>
      <c r="C13" s="15">
        <f>COUNTIF(Buyer!$L$2:$L$200,"Pass")</f>
        <v/>
      </c>
      <c r="D13" s="15">
        <f>COUNTIF(Buyer!$L$2:$L$200,"Fail")</f>
        <v/>
      </c>
      <c r="E13" s="15">
        <f>COUNTIF(Buyer!$L$2:$L$200,"Blocked")</f>
        <v/>
      </c>
      <c r="F13" s="15">
        <f>COUNTIF(Buyer!$L$2:$L$200,"Not Run")</f>
        <v/>
      </c>
      <c r="G13" s="25">
        <f>IF(B13=0,0,C13/B13)</f>
        <v/>
      </c>
    </row>
    <row r="14">
      <c r="A14" s="14" t="inlineStr">
        <is>
          <t>Seller</t>
        </is>
      </c>
      <c r="B14" s="15">
        <f>COUNTA(Seller!$A$2:$A$200)</f>
        <v/>
      </c>
      <c r="C14" s="15">
        <f>COUNTIF(Seller!$L$2:$L$200,"Pass")</f>
        <v/>
      </c>
      <c r="D14" s="15">
        <f>COUNTIF(Seller!$L$2:$L$200,"Fail")</f>
        <v/>
      </c>
      <c r="E14" s="15">
        <f>COUNTIF(Seller!$L$2:$L$200,"Blocked")</f>
        <v/>
      </c>
      <c r="F14" s="15">
        <f>COUNTIF(Seller!$L$2:$L$200,"Not Run")</f>
        <v/>
      </c>
      <c r="G14" s="25">
        <f>IF(B14=0,0,C14/B14)</f>
        <v/>
      </c>
    </row>
    <row r="15">
      <c r="A15" s="14" t="inlineStr">
        <is>
          <t>Logistics</t>
        </is>
      </c>
      <c r="B15" s="15">
        <f>COUNTA(Logistics!$A$2:$A$200)</f>
        <v/>
      </c>
      <c r="C15" s="15">
        <f>COUNTIF(Logistics!$L$2:$L$200,"Pass")</f>
        <v/>
      </c>
      <c r="D15" s="15">
        <f>COUNTIF(Logistics!$L$2:$L$200,"Fail")</f>
        <v/>
      </c>
      <c r="E15" s="15">
        <f>COUNTIF(Logistics!$L$2:$L$200,"Blocked")</f>
        <v/>
      </c>
      <c r="F15" s="15">
        <f>COUNTIF(Logistics!$L$2:$L$200,"Not Run")</f>
        <v/>
      </c>
      <c r="G15" s="25">
        <f>IF(B15=0,0,C15/B15)</f>
        <v/>
      </c>
    </row>
    <row r="16">
      <c r="A16" s="14" t="inlineStr">
        <is>
          <t>Rider</t>
        </is>
      </c>
      <c r="B16" s="15">
        <f>COUNTA(Rider!$A$2:$A$200)</f>
        <v/>
      </c>
      <c r="C16" s="15">
        <f>COUNTIF(Rider!$L$2:$L$200,"Pass")</f>
        <v/>
      </c>
      <c r="D16" s="15">
        <f>COUNTIF(Rider!$L$2:$L$200,"Fail")</f>
        <v/>
      </c>
      <c r="E16" s="15">
        <f>COUNTIF(Rider!$L$2:$L$200,"Blocked")</f>
        <v/>
      </c>
      <c r="F16" s="15">
        <f>COUNTIF(Rider!$L$2:$L$200,"Not Run")</f>
        <v/>
      </c>
      <c r="G16" s="25">
        <f>IF(B16=0,0,C16/B16)</f>
        <v/>
      </c>
    </row>
    <row r="17">
      <c r="A17" s="17" t="inlineStr">
        <is>
          <t>Total</t>
        </is>
      </c>
      <c r="B17" s="18">
        <f>SUM(B13:B16)</f>
        <v/>
      </c>
      <c r="C17" s="18">
        <f>SUM(C13:C16)</f>
        <v/>
      </c>
      <c r="D17" s="18">
        <f>SUM(D13:D16)</f>
        <v/>
      </c>
      <c r="E17" s="18">
        <f>SUM(E13:E16)</f>
        <v/>
      </c>
      <c r="F17" s="18">
        <f>SUM(F13:F16)</f>
        <v/>
      </c>
      <c r="G17" s="26">
        <f>IF(B17=0,0,C17/B17)</f>
        <v/>
      </c>
    </row>
    <row r="19">
      <c r="A19" s="9" t="inlineStr">
        <is>
          <t>How to use this workbook</t>
        </is>
      </c>
    </row>
    <row r="20" ht="15.75" customHeight="1">
      <c r="A20" s="22" t="inlineStr">
        <is>
          <t>1. Read the Assumptions sheet first. The rules are modeled on Philippine marketplaces, so adjust any case whose rule differs from your system.</t>
        </is>
      </c>
    </row>
    <row r="21" ht="30" customHeight="1">
      <c r="A21" s="22" t="inlineStr">
        <is>
          <t>2. The Test Data sheet lists every form field with two ready-made accounts per role. The Test Files sheet lists the upload files to prepare. All people, companies and numbers are fictional.</t>
        </is>
      </c>
    </row>
    <row r="22" ht="30" customHeight="1">
      <c r="A22" s="22" t="inlineStr">
        <is>
          <t>3. Emails use example.com, so nothing is delivered to a real inbox. Read OTP and activation emails from a mail catcher such as Mailtrap, or from your application's mail log.</t>
        </is>
      </c>
    </row>
    <row r="23" ht="30" customHeight="1">
      <c r="A23" s="22" t="inlineStr">
        <is>
          <t>4. On each role sheet, run the Test Steps with the Test Data and compare what happens with the Expected Result. Use a spare email and mobile number from the Test Data sheet whenever a value marked (accept) creates another account.</t>
        </is>
      </c>
    </row>
    <row r="24" ht="15.75" customHeight="1">
      <c r="A24" s="22" t="inlineStr">
        <is>
          <t>5. Dates of birth and license expiry dates in the boundary cases are calculated from today's date, so they are always correct on the day you test.</t>
        </is>
      </c>
    </row>
    <row r="25" ht="15.75" customHeight="1">
      <c r="A25" s="22" t="inlineStr">
        <is>
          <t>6. Fill in only the yellow cells: Actual Result, Status and Remarks. Pick the Status from the dropdown (Pass, Fail, Blocked, Not Run).</t>
        </is>
      </c>
    </row>
    <row r="26" ht="30" customHeight="1">
      <c r="A26" s="22" t="inlineStr">
        <is>
          <t>7. Pass = actual matches expected. Fail = it does not (describe what happened and add a screenshot or bug number in Remarks). Blocked = the case could not be run, for example because an earlier case failed.</t>
        </is>
      </c>
    </row>
    <row r="27" ht="15.75" customHeight="1">
      <c r="A27" s="22" t="inlineStr">
        <is>
          <t>8. The Results by role table above updates automatically from the Status column.</t>
        </is>
      </c>
    </row>
    <row r="29">
      <c r="A29" s="9" t="inlineStr">
        <is>
          <t>Example of a filled-in row (illustration only, not a real result)</t>
        </is>
      </c>
    </row>
    <row r="30">
      <c r="A30" s="1" t="inlineStr">
        <is>
          <t>Test Case ID</t>
        </is>
      </c>
      <c r="B30" s="1" t="inlineStr">
        <is>
          <t>Test Scenario</t>
        </is>
      </c>
      <c r="C30" s="1" t="inlineStr">
        <is>
          <t>Expected Result</t>
        </is>
      </c>
      <c r="D30" s="1" t="inlineStr">
        <is>
          <t>Actual Result</t>
        </is>
      </c>
      <c r="E30" s="1" t="inlineStr">
        <is>
          <t>Status</t>
        </is>
      </c>
      <c r="F30" s="1" t="inlineStr">
        <is>
          <t>Remarks</t>
        </is>
      </c>
    </row>
    <row r="31" ht="54" customHeight="1">
      <c r="A31" s="20" t="inlineStr">
        <is>
          <t>TC-BUY-010</t>
        </is>
      </c>
      <c r="B31" s="20" t="inlineStr">
        <is>
          <t>Email that is already registered</t>
        </is>
      </c>
      <c r="C31" s="20" t="inlineStr">
        <is>
          <t>Registration is blocked. A message says the email is already in use. No account is created.</t>
        </is>
      </c>
      <c r="D31" s="21" t="inlineStr">
        <is>
          <t>No message was shown. A second account was created with juanmiguel.delacruz@example.com.</t>
        </is>
      </c>
      <c r="E31" s="21" t="inlineStr">
        <is>
          <t>Fail</t>
        </is>
      </c>
      <c r="F31" s="21" t="inlineStr">
        <is>
          <t>Bug #012. Screenshot: buy-010.png</t>
        </is>
      </c>
    </row>
    <row r="34">
      <c r="A34" s="9" t="inlineStr">
        <is>
          <t>Black-box techniques used</t>
        </is>
      </c>
    </row>
    <row r="35" ht="15" customHeight="1">
      <c r="A35" s="24" t="inlineStr">
        <is>
          <t>Equivalence Partitioning</t>
        </is>
      </c>
      <c r="B35" s="23" t="inlineStr">
        <is>
          <t>Inputs are grouped into valid and invalid classes, and one value from each class is tested.</t>
        </is>
      </c>
      <c r="C35" s="27" t="n"/>
      <c r="D35" s="27" t="n"/>
      <c r="E35" s="27" t="n"/>
      <c r="F35" s="27" t="n"/>
      <c r="G35" s="28" t="n"/>
    </row>
    <row r="36" ht="15" customHeight="1">
      <c r="A36" s="24" t="inlineStr">
        <is>
          <t>Boundary Value Analysis</t>
        </is>
      </c>
      <c r="B36" s="23" t="inlineStr">
        <is>
          <t>Values at and just beyond a limit are tested, for example 7 and 8 characters for a minimum of 8.</t>
        </is>
      </c>
      <c r="C36" s="27" t="n"/>
      <c r="D36" s="27" t="n"/>
      <c r="E36" s="27" t="n"/>
      <c r="F36" s="27" t="n"/>
      <c r="G36" s="28" t="n"/>
    </row>
    <row r="37" ht="15" customHeight="1">
      <c r="A37" s="24" t="inlineStr">
        <is>
          <t>Decision Table</t>
        </is>
      </c>
      <c r="B37" s="23" t="inlineStr">
        <is>
          <t>Combinations of conditions are tested, for example each missing password character type.</t>
        </is>
      </c>
      <c r="C37" s="27" t="n"/>
      <c r="D37" s="27" t="n"/>
      <c r="E37" s="27" t="n"/>
      <c r="F37" s="27" t="n"/>
      <c r="G37" s="28" t="n"/>
    </row>
    <row r="38" ht="15" customHeight="1">
      <c r="A38" s="24" t="inlineStr">
        <is>
          <t>State Transition</t>
        </is>
      </c>
      <c r="B38" s="23" t="inlineStr">
        <is>
          <t>Changes in account status are tested, for example Unverified to Active or Pending Approval to Approved.</t>
        </is>
      </c>
      <c r="C38" s="27" t="n"/>
      <c r="D38" s="27" t="n"/>
      <c r="E38" s="27" t="n"/>
      <c r="F38" s="27" t="n"/>
      <c r="G38" s="28" t="n"/>
    </row>
    <row r="39" ht="15" customHeight="1">
      <c r="A39" s="24" t="inlineStr">
        <is>
          <t>Use Case Testing</t>
        </is>
      </c>
      <c r="B39" s="23" t="inlineStr">
        <is>
          <t>A complete user flow is tested from start to finish with valid data.</t>
        </is>
      </c>
      <c r="C39" s="27" t="n"/>
      <c r="D39" s="27" t="n"/>
      <c r="E39" s="27" t="n"/>
      <c r="F39" s="27" t="n"/>
      <c r="G39" s="28" t="n"/>
    </row>
    <row r="40" ht="15" customHeight="1">
      <c r="A40" s="24" t="inlineStr">
        <is>
          <t>Error Guessing</t>
        </is>
      </c>
      <c r="B40" s="23" t="inlineStr">
        <is>
          <t>Likely mistakes are tested based on experience, for example double-clicking Register or pasting another role's URL.</t>
        </is>
      </c>
      <c r="C40" s="27" t="n"/>
      <c r="D40" s="27" t="n"/>
      <c r="E40" s="27" t="n"/>
      <c r="F40" s="27" t="n"/>
      <c r="G40" s="28" t="n"/>
    </row>
  </sheetData>
  <mergeCells count="14">
    <mergeCell ref="B38:G38"/>
    <mergeCell ref="A27:G27"/>
    <mergeCell ref="B37:G37"/>
    <mergeCell ref="B36:G36"/>
    <mergeCell ref="A21:G21"/>
    <mergeCell ref="A22:G22"/>
    <mergeCell ref="A26:G26"/>
    <mergeCell ref="B35:G35"/>
    <mergeCell ref="A20:G20"/>
    <mergeCell ref="B40:G40"/>
    <mergeCell ref="A24:G24"/>
    <mergeCell ref="A25:G25"/>
    <mergeCell ref="B39:G39"/>
    <mergeCell ref="A23:G23"/>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outlinePr summaryBelow="1" summaryRight="1"/>
    <pageSetUpPr fitToPage="1"/>
  </sheetPr>
  <dimension ref="A1:G82"/>
  <sheetViews>
    <sheetView showGridLines="0" workbookViewId="0">
      <selection activeCell="A1" sqref="A1"/>
    </sheetView>
  </sheetViews>
  <sheetFormatPr baseColWidth="8" defaultColWidth="8.6640625" defaultRowHeight="14.4"/>
  <cols>
    <col width="11" customWidth="1" min="1" max="1"/>
    <col width="36" customWidth="1" min="2" max="2"/>
    <col width="22" customWidth="1" min="3" max="3"/>
    <col width="14" customWidth="1" min="4" max="4"/>
    <col width="42" customWidth="1" min="5" max="5"/>
    <col width="38" customWidth="1" min="6" max="7"/>
  </cols>
  <sheetData>
    <row r="1" ht="17.4" customHeight="1">
      <c r="A1" s="7" t="inlineStr">
        <is>
          <t>Test data and input details</t>
        </is>
      </c>
    </row>
    <row r="2" ht="30" customHeight="1">
      <c r="A2" s="22" t="inlineStr">
        <is>
          <t>Every form field per role, with its rule and two complete sets of valid data. Account 1 is the main account in the test cases. Account 2 is for cases that need a second account. All people, companies, numbers and addresses are fictional.</t>
        </is>
      </c>
    </row>
    <row r="4">
      <c r="A4" s="9" t="inlineStr">
        <is>
          <t>Buyer: Self-registration</t>
        </is>
      </c>
    </row>
    <row r="5">
      <c r="A5" s="1" t="inlineStr">
        <is>
          <t>Role</t>
        </is>
      </c>
      <c r="B5" s="1" t="inlineStr">
        <is>
          <t>Field</t>
        </is>
      </c>
      <c r="C5" s="1" t="inlineStr">
        <is>
          <t>Required</t>
        </is>
      </c>
      <c r="D5" s="1" t="inlineStr">
        <is>
          <t>Input type</t>
        </is>
      </c>
      <c r="E5" s="1" t="inlineStr">
        <is>
          <t>Format / rule</t>
        </is>
      </c>
      <c r="F5" s="1" t="inlineStr">
        <is>
          <t>Account 1 (valid)</t>
        </is>
      </c>
      <c r="G5" s="1" t="inlineStr">
        <is>
          <t>Account 2 (valid)</t>
        </is>
      </c>
    </row>
    <row r="6" ht="26.4" customHeight="1">
      <c r="A6" s="10" t="inlineStr">
        <is>
          <t>Buyer</t>
        </is>
      </c>
      <c r="B6" s="24" t="inlineStr">
        <is>
          <t>First Name</t>
        </is>
      </c>
      <c r="C6" s="23" t="inlineStr">
        <is>
          <t>Yes</t>
        </is>
      </c>
      <c r="D6" s="23" t="inlineStr">
        <is>
          <t>Text</t>
        </is>
      </c>
      <c r="E6" s="23" t="inlineStr">
        <is>
          <t>2 to 50 characters; letters, spaces, hyphen, apostrophe, period</t>
        </is>
      </c>
      <c r="F6" s="23" t="inlineStr">
        <is>
          <t>Juan Miguel</t>
        </is>
      </c>
      <c r="G6" s="23" t="inlineStr">
        <is>
          <t>Ana Marie</t>
        </is>
      </c>
    </row>
    <row r="7" ht="26.4" customHeight="1">
      <c r="A7" s="10" t="inlineStr">
        <is>
          <t>Buyer</t>
        </is>
      </c>
      <c r="B7" s="24" t="inlineStr">
        <is>
          <t>Last Name</t>
        </is>
      </c>
      <c r="C7" s="23" t="inlineStr">
        <is>
          <t>Yes</t>
        </is>
      </c>
      <c r="D7" s="23" t="inlineStr">
        <is>
          <t>Text</t>
        </is>
      </c>
      <c r="E7" s="23" t="inlineStr">
        <is>
          <t>2 to 50 characters; letters, spaces, hyphen, apostrophe, period</t>
        </is>
      </c>
      <c r="F7" s="23" t="inlineStr">
        <is>
          <t>Dela Cruz</t>
        </is>
      </c>
      <c r="G7" s="23" t="inlineStr">
        <is>
          <t>Reyes</t>
        </is>
      </c>
    </row>
    <row r="8">
      <c r="A8" s="10" t="inlineStr">
        <is>
          <t>Buyer</t>
        </is>
      </c>
      <c r="B8" s="24" t="inlineStr">
        <is>
          <t>Email</t>
        </is>
      </c>
      <c r="C8" s="23" t="inlineStr">
        <is>
          <t>Yes</t>
        </is>
      </c>
      <c r="D8" s="23" t="inlineStr">
        <is>
          <t>Email</t>
        </is>
      </c>
      <c r="E8" s="23" t="inlineStr">
        <is>
          <t>Valid email format; unique</t>
        </is>
      </c>
      <c r="F8" s="23" t="inlineStr">
        <is>
          <t>juanmiguel.delacruz@example.com</t>
        </is>
      </c>
      <c r="G8" s="23" t="inlineStr">
        <is>
          <t>anamarie.reyes@example.com</t>
        </is>
      </c>
    </row>
    <row r="9">
      <c r="A9" s="10" t="inlineStr">
        <is>
          <t>Buyer</t>
        </is>
      </c>
      <c r="B9" s="24" t="inlineStr">
        <is>
          <t>Mobile Number</t>
        </is>
      </c>
      <c r="C9" s="23" t="inlineStr">
        <is>
          <t>Yes</t>
        </is>
      </c>
      <c r="D9" s="23" t="inlineStr">
        <is>
          <t>Text</t>
        </is>
      </c>
      <c r="E9" s="23" t="inlineStr">
        <is>
          <t>09XXXXXXXXX or +639XXXXXXXXX; unique</t>
        </is>
      </c>
      <c r="F9" s="23" t="inlineStr">
        <is>
          <t>09171234567</t>
        </is>
      </c>
      <c r="G9" s="23" t="inlineStr">
        <is>
          <t>09173456789</t>
        </is>
      </c>
    </row>
    <row r="10">
      <c r="A10" s="10" t="inlineStr">
        <is>
          <t>Buyer</t>
        </is>
      </c>
      <c r="B10" s="24" t="inlineStr">
        <is>
          <t>Date of Birth</t>
        </is>
      </c>
      <c r="C10" s="23" t="inlineStr">
        <is>
          <t>Yes</t>
        </is>
      </c>
      <c r="D10" s="23" t="inlineStr">
        <is>
          <t>Date picker</t>
        </is>
      </c>
      <c r="E10" s="23" t="inlineStr">
        <is>
          <t>At least 18 years old</t>
        </is>
      </c>
      <c r="F10" s="23" t="inlineStr">
        <is>
          <t>05/14/1998</t>
        </is>
      </c>
      <c r="G10" s="23" t="inlineStr">
        <is>
          <t>11/02/2001</t>
        </is>
      </c>
    </row>
    <row r="11" ht="26.4" customHeight="1">
      <c r="A11" s="10" t="inlineStr">
        <is>
          <t>Buyer</t>
        </is>
      </c>
      <c r="B11" s="24" t="inlineStr">
        <is>
          <t>Password</t>
        </is>
      </c>
      <c r="C11" s="23" t="inlineStr">
        <is>
          <t>Yes</t>
        </is>
      </c>
      <c r="D11" s="23" t="inlineStr">
        <is>
          <t>Password</t>
        </is>
      </c>
      <c r="E11" s="23" t="inlineStr">
        <is>
          <t>Min 8 characters; uppercase, lowercase, number, special character</t>
        </is>
      </c>
      <c r="F11" s="23" t="inlineStr">
        <is>
          <t>Mamimili@2026</t>
        </is>
      </c>
      <c r="G11" s="23" t="inlineStr">
        <is>
          <t>Suki#2026Ana</t>
        </is>
      </c>
    </row>
    <row r="12">
      <c r="A12" s="10" t="inlineStr">
        <is>
          <t>Buyer</t>
        </is>
      </c>
      <c r="B12" s="24" t="inlineStr">
        <is>
          <t>Confirm Password</t>
        </is>
      </c>
      <c r="C12" s="23" t="inlineStr">
        <is>
          <t>Yes</t>
        </is>
      </c>
      <c r="D12" s="23" t="inlineStr">
        <is>
          <t>Password</t>
        </is>
      </c>
      <c r="E12" s="23" t="inlineStr">
        <is>
          <t>Must match Password</t>
        </is>
      </c>
      <c r="F12" s="23" t="inlineStr">
        <is>
          <t>Mamimili@2026</t>
        </is>
      </c>
      <c r="G12" s="23" t="inlineStr">
        <is>
          <t>Suki#2026Ana</t>
        </is>
      </c>
    </row>
    <row r="13">
      <c r="A13" s="10" t="inlineStr">
        <is>
          <t>Buyer</t>
        </is>
      </c>
      <c r="B13" s="24" t="inlineStr">
        <is>
          <t>Terms and Privacy Policy</t>
        </is>
      </c>
      <c r="C13" s="23" t="inlineStr">
        <is>
          <t>Yes</t>
        </is>
      </c>
      <c r="D13" s="23" t="inlineStr">
        <is>
          <t>Checkbox</t>
        </is>
      </c>
      <c r="E13" s="23" t="inlineStr">
        <is>
          <t>Must be ticked</t>
        </is>
      </c>
      <c r="F13" s="23" t="inlineStr">
        <is>
          <t>Ticked</t>
        </is>
      </c>
      <c r="G13" s="23" t="inlineStr">
        <is>
          <t>Ticked</t>
        </is>
      </c>
    </row>
    <row r="15">
      <c r="A15" s="9" t="inlineStr">
        <is>
          <t>Seller: Self-registration, then admin approval</t>
        </is>
      </c>
    </row>
    <row r="16">
      <c r="A16" s="1" t="inlineStr">
        <is>
          <t>Role</t>
        </is>
      </c>
      <c r="B16" s="1" t="inlineStr">
        <is>
          <t>Field</t>
        </is>
      </c>
      <c r="C16" s="1" t="inlineStr">
        <is>
          <t>Required</t>
        </is>
      </c>
      <c r="D16" s="1" t="inlineStr">
        <is>
          <t>Input type</t>
        </is>
      </c>
      <c r="E16" s="1" t="inlineStr">
        <is>
          <t>Format / rule</t>
        </is>
      </c>
      <c r="F16" s="1" t="inlineStr">
        <is>
          <t>Account 1 (valid)</t>
        </is>
      </c>
      <c r="G16" s="1" t="inlineStr">
        <is>
          <t>Account 2 (valid)</t>
        </is>
      </c>
    </row>
    <row r="17" ht="26.4" customHeight="1">
      <c r="A17" s="10" t="inlineStr">
        <is>
          <t>Seller</t>
        </is>
      </c>
      <c r="B17" s="24" t="inlineStr">
        <is>
          <t>First Name</t>
        </is>
      </c>
      <c r="C17" s="23" t="inlineStr">
        <is>
          <t>Yes</t>
        </is>
      </c>
      <c r="D17" s="23" t="inlineStr">
        <is>
          <t>Text</t>
        </is>
      </c>
      <c r="E17" s="23" t="inlineStr">
        <is>
          <t>2 to 50 characters; letters, spaces, hyphen, apostrophe, period</t>
        </is>
      </c>
      <c r="F17" s="23" t="inlineStr">
        <is>
          <t>Maria Clara</t>
        </is>
      </c>
      <c r="G17" s="23" t="inlineStr">
        <is>
          <t>Roberto</t>
        </is>
      </c>
    </row>
    <row r="18" ht="26.4" customHeight="1">
      <c r="A18" s="10" t="inlineStr">
        <is>
          <t>Seller</t>
        </is>
      </c>
      <c r="B18" s="24" t="inlineStr">
        <is>
          <t>Last Name</t>
        </is>
      </c>
      <c r="C18" s="23" t="inlineStr">
        <is>
          <t>Yes</t>
        </is>
      </c>
      <c r="D18" s="23" t="inlineStr">
        <is>
          <t>Text</t>
        </is>
      </c>
      <c r="E18" s="23" t="inlineStr">
        <is>
          <t>2 to 50 characters; letters, spaces, hyphen, apostrophe, period</t>
        </is>
      </c>
      <c r="F18" s="23" t="inlineStr">
        <is>
          <t>Santos</t>
        </is>
      </c>
      <c r="G18" s="23" t="inlineStr">
        <is>
          <t>Villanueva</t>
        </is>
      </c>
    </row>
    <row r="19">
      <c r="A19" s="10" t="inlineStr">
        <is>
          <t>Seller</t>
        </is>
      </c>
      <c r="B19" s="24" t="inlineStr">
        <is>
          <t>Email</t>
        </is>
      </c>
      <c r="C19" s="23" t="inlineStr">
        <is>
          <t>Yes</t>
        </is>
      </c>
      <c r="D19" s="23" t="inlineStr">
        <is>
          <t>Email</t>
        </is>
      </c>
      <c r="E19" s="23" t="inlineStr">
        <is>
          <t>Valid email format; unique</t>
        </is>
      </c>
      <c r="F19" s="23" t="inlineStr">
        <is>
          <t>mariaclara.santos@example.com</t>
        </is>
      </c>
      <c r="G19" s="23" t="inlineStr">
        <is>
          <t>roberto.villanueva@example.com</t>
        </is>
      </c>
    </row>
    <row r="20">
      <c r="A20" s="10" t="inlineStr">
        <is>
          <t>Seller</t>
        </is>
      </c>
      <c r="B20" s="24" t="inlineStr">
        <is>
          <t>Mobile Number</t>
        </is>
      </c>
      <c r="C20" s="23" t="inlineStr">
        <is>
          <t>Yes</t>
        </is>
      </c>
      <c r="D20" s="23" t="inlineStr">
        <is>
          <t>Text</t>
        </is>
      </c>
      <c r="E20" s="23" t="inlineStr">
        <is>
          <t>09XXXXXXXXX or +639XXXXXXXXX; unique</t>
        </is>
      </c>
      <c r="F20" s="23" t="inlineStr">
        <is>
          <t>09189876543</t>
        </is>
      </c>
      <c r="G20" s="23" t="inlineStr">
        <is>
          <t>09194567890</t>
        </is>
      </c>
    </row>
    <row r="21">
      <c r="A21" s="10" t="inlineStr">
        <is>
          <t>Seller</t>
        </is>
      </c>
      <c r="B21" s="24" t="inlineStr">
        <is>
          <t>Shop Name</t>
        </is>
      </c>
      <c r="C21" s="23" t="inlineStr">
        <is>
          <t>Yes</t>
        </is>
      </c>
      <c r="D21" s="23" t="inlineStr">
        <is>
          <t>Text</t>
        </is>
      </c>
      <c r="E21" s="23" t="inlineStr">
        <is>
          <t>3 to 30 characters; unique</t>
        </is>
      </c>
      <c r="F21" s="23" t="inlineStr">
        <is>
          <t>Maria Clara Handicrafts</t>
        </is>
      </c>
      <c r="G21" s="23" t="inlineStr">
        <is>
          <t>RV Gadget Hub</t>
        </is>
      </c>
    </row>
    <row r="22">
      <c r="A22" s="10" t="inlineStr">
        <is>
          <t>Seller</t>
        </is>
      </c>
      <c r="B22" s="24" t="inlineStr">
        <is>
          <t>Shop Category</t>
        </is>
      </c>
      <c r="C22" s="23" t="inlineStr">
        <is>
          <t>Yes</t>
        </is>
      </c>
      <c r="D22" s="23" t="inlineStr">
        <is>
          <t>Dropdown</t>
        </is>
      </c>
      <c r="E22" s="23" t="inlineStr">
        <is>
          <t>One main category</t>
        </is>
      </c>
      <c r="F22" s="23" t="inlineStr">
        <is>
          <t>Home &amp; Living</t>
        </is>
      </c>
      <c r="G22" s="23" t="inlineStr">
        <is>
          <t>Mobiles &amp; Gadgets</t>
        </is>
      </c>
    </row>
    <row r="23">
      <c r="A23" s="10" t="inlineStr">
        <is>
          <t>Seller</t>
        </is>
      </c>
      <c r="B23" s="24" t="inlineStr">
        <is>
          <t>Seller Type</t>
        </is>
      </c>
      <c r="C23" s="23" t="inlineStr">
        <is>
          <t>Yes</t>
        </is>
      </c>
      <c r="D23" s="23" t="inlineStr">
        <is>
          <t>Dropdown</t>
        </is>
      </c>
      <c r="E23" s="23" t="inlineStr">
        <is>
          <t>Individual, Sole Proprietorship or Corporation</t>
        </is>
      </c>
      <c r="F23" s="23" t="inlineStr">
        <is>
          <t>Sole Proprietorship</t>
        </is>
      </c>
      <c r="G23" s="23" t="inlineStr">
        <is>
          <t>Corporation</t>
        </is>
      </c>
    </row>
    <row r="24">
      <c r="A24" s="10" t="inlineStr">
        <is>
          <t>Seller</t>
        </is>
      </c>
      <c r="B24" s="24" t="inlineStr">
        <is>
          <t>TIN</t>
        </is>
      </c>
      <c r="C24" s="23" t="inlineStr">
        <is>
          <t>Yes</t>
        </is>
      </c>
      <c r="D24" s="23" t="inlineStr">
        <is>
          <t>Text</t>
        </is>
      </c>
      <c r="E24" s="23" t="inlineStr">
        <is>
          <t>000-000-000-000 (12 digits); unique</t>
        </is>
      </c>
      <c r="F24" s="23" t="inlineStr">
        <is>
          <t>123-456-789-000</t>
        </is>
      </c>
      <c r="G24" s="23" t="inlineStr">
        <is>
          <t>456-789-012-000</t>
        </is>
      </c>
    </row>
    <row r="25">
      <c r="A25" s="10" t="inlineStr">
        <is>
          <t>Seller</t>
        </is>
      </c>
      <c r="B25" s="24" t="inlineStr">
        <is>
          <t>Region</t>
        </is>
      </c>
      <c r="C25" s="23" t="inlineStr">
        <is>
          <t>Yes</t>
        </is>
      </c>
      <c r="D25" s="23" t="inlineStr">
        <is>
          <t>Dropdown</t>
        </is>
      </c>
      <c r="E25" s="23" t="inlineStr">
        <is>
          <t>Philippine regions</t>
        </is>
      </c>
      <c r="F25" s="23" t="inlineStr">
        <is>
          <t>National Capital Region (NCR)</t>
        </is>
      </c>
      <c r="G25" s="23" t="inlineStr">
        <is>
          <t>Region VII (Central Visayas)</t>
        </is>
      </c>
    </row>
    <row r="26">
      <c r="A26" s="10" t="inlineStr">
        <is>
          <t>Seller</t>
        </is>
      </c>
      <c r="B26" s="24" t="inlineStr">
        <is>
          <t>Province</t>
        </is>
      </c>
      <c r="C26" s="23" t="inlineStr">
        <is>
          <t>Yes</t>
        </is>
      </c>
      <c r="D26" s="23" t="inlineStr">
        <is>
          <t>Dropdown</t>
        </is>
      </c>
      <c r="E26" s="23" t="inlineStr">
        <is>
          <t>Filtered by Region</t>
        </is>
      </c>
      <c r="F26" s="23" t="inlineStr">
        <is>
          <t>Metro Manila</t>
        </is>
      </c>
      <c r="G26" s="23" t="inlineStr">
        <is>
          <t>Cebu</t>
        </is>
      </c>
    </row>
    <row r="27">
      <c r="A27" s="10" t="inlineStr">
        <is>
          <t>Seller</t>
        </is>
      </c>
      <c r="B27" s="24" t="inlineStr">
        <is>
          <t>City / Municipality</t>
        </is>
      </c>
      <c r="C27" s="23" t="inlineStr">
        <is>
          <t>Yes</t>
        </is>
      </c>
      <c r="D27" s="23" t="inlineStr">
        <is>
          <t>Dropdown</t>
        </is>
      </c>
      <c r="E27" s="23" t="inlineStr">
        <is>
          <t>Filtered by Province</t>
        </is>
      </c>
      <c r="F27" s="23" t="inlineStr">
        <is>
          <t>Quezon City</t>
        </is>
      </c>
      <c r="G27" s="23" t="inlineStr">
        <is>
          <t>Cebu City</t>
        </is>
      </c>
    </row>
    <row r="28">
      <c r="A28" s="10" t="inlineStr">
        <is>
          <t>Seller</t>
        </is>
      </c>
      <c r="B28" s="24" t="inlineStr">
        <is>
          <t>Barangay</t>
        </is>
      </c>
      <c r="C28" s="23" t="inlineStr">
        <is>
          <t>Yes</t>
        </is>
      </c>
      <c r="D28" s="23" t="inlineStr">
        <is>
          <t>Dropdown</t>
        </is>
      </c>
      <c r="E28" s="23" t="inlineStr">
        <is>
          <t>Filtered by City / Municipality</t>
        </is>
      </c>
      <c r="F28" s="23" t="inlineStr">
        <is>
          <t>Commonwealth</t>
        </is>
      </c>
      <c r="G28" s="23" t="inlineStr">
        <is>
          <t>Lahug</t>
        </is>
      </c>
    </row>
    <row r="29">
      <c r="A29" s="10" t="inlineStr">
        <is>
          <t>Seller</t>
        </is>
      </c>
      <c r="B29" s="24" t="inlineStr">
        <is>
          <t>Street Address</t>
        </is>
      </c>
      <c r="C29" s="23" t="inlineStr">
        <is>
          <t>Yes</t>
        </is>
      </c>
      <c r="D29" s="23" t="inlineStr">
        <is>
          <t>Text</t>
        </is>
      </c>
      <c r="E29" s="23" t="inlineStr">
        <is>
          <t>House, unit or lot number and street</t>
        </is>
      </c>
      <c r="F29" s="23" t="inlineStr">
        <is>
          <t>Blk 12 Lot 8, Sampaguita St.</t>
        </is>
      </c>
      <c r="G29" s="23" t="inlineStr">
        <is>
          <t>2F, 45 Gorordo Ave.</t>
        </is>
      </c>
    </row>
    <row r="30">
      <c r="A30" s="10" t="inlineStr">
        <is>
          <t>Seller</t>
        </is>
      </c>
      <c r="B30" s="24" t="inlineStr">
        <is>
          <t>Postal Code</t>
        </is>
      </c>
      <c r="C30" s="23" t="inlineStr">
        <is>
          <t>Yes</t>
        </is>
      </c>
      <c r="D30" s="23" t="inlineStr">
        <is>
          <t>Text</t>
        </is>
      </c>
      <c r="E30" s="23" t="inlineStr">
        <is>
          <t>Exactly 4 digits</t>
        </is>
      </c>
      <c r="F30" s="23" t="inlineStr">
        <is>
          <t>1121</t>
        </is>
      </c>
      <c r="G30" s="23" t="inlineStr">
        <is>
          <t>6000</t>
        </is>
      </c>
    </row>
    <row r="31">
      <c r="A31" s="10" t="inlineStr">
        <is>
          <t>Seller</t>
        </is>
      </c>
      <c r="B31" s="24" t="inlineStr">
        <is>
          <t>Government-issued ID (upload)</t>
        </is>
      </c>
      <c r="C31" s="23" t="inlineStr">
        <is>
          <t>Yes</t>
        </is>
      </c>
      <c r="D31" s="23" t="inlineStr">
        <is>
          <t>File</t>
        </is>
      </c>
      <c r="E31" s="23" t="inlineStr">
        <is>
          <t>JPG, PNG or PDF; max 5 MB</t>
        </is>
      </c>
      <c r="F31" s="23" t="inlineStr">
        <is>
          <t>govt_id_front.jpg (1.2 MB)</t>
        </is>
      </c>
      <c r="G31" s="23" t="inlineStr">
        <is>
          <t>govt_id_front.png (2.4 MB)</t>
        </is>
      </c>
    </row>
    <row r="32">
      <c r="A32" s="10" t="inlineStr">
        <is>
          <t>Seller</t>
        </is>
      </c>
      <c r="B32" s="24" t="inlineStr">
        <is>
          <t>DTI Certificate (upload)</t>
        </is>
      </c>
      <c r="C32" s="23" t="inlineStr">
        <is>
          <t>Sole Proprietorship only</t>
        </is>
      </c>
      <c r="D32" s="23" t="inlineStr">
        <is>
          <t>File</t>
        </is>
      </c>
      <c r="E32" s="23" t="inlineStr">
        <is>
          <t>JPG, PNG or PDF; max 5 MB</t>
        </is>
      </c>
      <c r="F32" s="23" t="inlineStr">
        <is>
          <t>dti_certificate.pdf (850 KB)</t>
        </is>
      </c>
      <c r="G32" s="23" t="inlineStr">
        <is>
          <t>Not applicable</t>
        </is>
      </c>
    </row>
    <row r="33">
      <c r="A33" s="10" t="inlineStr">
        <is>
          <t>Seller</t>
        </is>
      </c>
      <c r="B33" s="24" t="inlineStr">
        <is>
          <t>SEC Certificate (upload)</t>
        </is>
      </c>
      <c r="C33" s="23" t="inlineStr">
        <is>
          <t>Corporation only</t>
        </is>
      </c>
      <c r="D33" s="23" t="inlineStr">
        <is>
          <t>File</t>
        </is>
      </c>
      <c r="E33" s="23" t="inlineStr">
        <is>
          <t>JPG, PNG or PDF; max 5 MB</t>
        </is>
      </c>
      <c r="F33" s="23" t="inlineStr">
        <is>
          <t>Not applicable</t>
        </is>
      </c>
      <c r="G33" s="23" t="inlineStr">
        <is>
          <t>sec_certificate.pdf (1.0 MB)</t>
        </is>
      </c>
    </row>
    <row r="34" ht="26.4" customHeight="1">
      <c r="A34" s="10" t="inlineStr">
        <is>
          <t>Seller</t>
        </is>
      </c>
      <c r="B34" s="24" t="inlineStr">
        <is>
          <t>BIR Form 2303 (upload)</t>
        </is>
      </c>
      <c r="C34" s="23" t="inlineStr">
        <is>
          <t>Sole Proprietorship and Corporation</t>
        </is>
      </c>
      <c r="D34" s="23" t="inlineStr">
        <is>
          <t>File</t>
        </is>
      </c>
      <c r="E34" s="23" t="inlineStr">
        <is>
          <t>JPG, PNG or PDF; max 5 MB</t>
        </is>
      </c>
      <c r="F34" s="23" t="inlineStr">
        <is>
          <t>bir_2303.pdf (1.1 MB)</t>
        </is>
      </c>
      <c r="G34" s="23" t="inlineStr">
        <is>
          <t>bir_2303.pdf (1.1 MB)</t>
        </is>
      </c>
    </row>
    <row r="35" ht="26.4" customHeight="1">
      <c r="A35" s="10" t="inlineStr">
        <is>
          <t>Seller</t>
        </is>
      </c>
      <c r="B35" s="24" t="inlineStr">
        <is>
          <t>Password</t>
        </is>
      </c>
      <c r="C35" s="23" t="inlineStr">
        <is>
          <t>Yes</t>
        </is>
      </c>
      <c r="D35" s="23" t="inlineStr">
        <is>
          <t>Password</t>
        </is>
      </c>
      <c r="E35" s="23" t="inlineStr">
        <is>
          <t>Min 8 characters; uppercase, lowercase, number, special character</t>
        </is>
      </c>
      <c r="F35" s="23" t="inlineStr">
        <is>
          <t>Tindahan@2026</t>
        </is>
      </c>
      <c r="G35" s="23" t="inlineStr">
        <is>
          <t>Gadget#Hub26</t>
        </is>
      </c>
    </row>
    <row r="36">
      <c r="A36" s="10" t="inlineStr">
        <is>
          <t>Seller</t>
        </is>
      </c>
      <c r="B36" s="24" t="inlineStr">
        <is>
          <t>Confirm Password</t>
        </is>
      </c>
      <c r="C36" s="23" t="inlineStr">
        <is>
          <t>Yes</t>
        </is>
      </c>
      <c r="D36" s="23" t="inlineStr">
        <is>
          <t>Password</t>
        </is>
      </c>
      <c r="E36" s="23" t="inlineStr">
        <is>
          <t>Must match Password</t>
        </is>
      </c>
      <c r="F36" s="23" t="inlineStr">
        <is>
          <t>Tindahan@2026</t>
        </is>
      </c>
      <c r="G36" s="23" t="inlineStr">
        <is>
          <t>Gadget#Hub26</t>
        </is>
      </c>
    </row>
    <row r="37">
      <c r="A37" s="10" t="inlineStr">
        <is>
          <t>Seller</t>
        </is>
      </c>
      <c r="B37" s="24" t="inlineStr">
        <is>
          <t>Terms and Privacy Policy</t>
        </is>
      </c>
      <c r="C37" s="23" t="inlineStr">
        <is>
          <t>Yes</t>
        </is>
      </c>
      <c r="D37" s="23" t="inlineStr">
        <is>
          <t>Checkbox</t>
        </is>
      </c>
      <c r="E37" s="23" t="inlineStr">
        <is>
          <t>Must be ticked</t>
        </is>
      </c>
      <c r="F37" s="23" t="inlineStr">
        <is>
          <t>Ticked</t>
        </is>
      </c>
      <c r="G37" s="23" t="inlineStr">
        <is>
          <t>Ticked</t>
        </is>
      </c>
    </row>
    <row r="39">
      <c r="A39" s="9" t="inlineStr">
        <is>
          <t>Logistics: Self-registration, then admin approval</t>
        </is>
      </c>
    </row>
    <row r="40">
      <c r="A40" s="1" t="inlineStr">
        <is>
          <t>Role</t>
        </is>
      </c>
      <c r="B40" s="1" t="inlineStr">
        <is>
          <t>Field</t>
        </is>
      </c>
      <c r="C40" s="1" t="inlineStr">
        <is>
          <t>Required</t>
        </is>
      </c>
      <c r="D40" s="1" t="inlineStr">
        <is>
          <t>Input type</t>
        </is>
      </c>
      <c r="E40" s="1" t="inlineStr">
        <is>
          <t>Format / rule</t>
        </is>
      </c>
      <c r="F40" s="1" t="inlineStr">
        <is>
          <t>Account 1 (valid)</t>
        </is>
      </c>
      <c r="G40" s="1" t="inlineStr">
        <is>
          <t>Account 2 (valid)</t>
        </is>
      </c>
    </row>
    <row r="41">
      <c r="A41" s="10" t="inlineStr">
        <is>
          <t>Logistics</t>
        </is>
      </c>
      <c r="B41" s="24" t="inlineStr">
        <is>
          <t>Company Name</t>
        </is>
      </c>
      <c r="C41" s="23" t="inlineStr">
        <is>
          <t>Yes</t>
        </is>
      </c>
      <c r="D41" s="23" t="inlineStr">
        <is>
          <t>Text</t>
        </is>
      </c>
      <c r="E41" s="23" t="inlineStr">
        <is>
          <t>Unique</t>
        </is>
      </c>
      <c r="F41" s="23" t="inlineStr">
        <is>
          <t>Bilis Hatid Express Inc.</t>
        </is>
      </c>
      <c r="G41" s="23" t="inlineStr">
        <is>
          <t>Agila Cargo Movers Corp.</t>
        </is>
      </c>
    </row>
    <row r="42">
      <c r="A42" s="10" t="inlineStr">
        <is>
          <t>Logistics</t>
        </is>
      </c>
      <c r="B42" s="24" t="inlineStr">
        <is>
          <t>SEC Registration No.</t>
        </is>
      </c>
      <c r="C42" s="23" t="inlineStr">
        <is>
          <t>Yes</t>
        </is>
      </c>
      <c r="D42" s="23" t="inlineStr">
        <is>
          <t>Text</t>
        </is>
      </c>
      <c r="E42" s="23" t="inlineStr">
        <is>
          <t>2 letters followed by 9 digits; unique</t>
        </is>
      </c>
      <c r="F42" s="23" t="inlineStr">
        <is>
          <t>CS202012345</t>
        </is>
      </c>
      <c r="G42" s="23" t="inlineStr">
        <is>
          <t>CS201998765</t>
        </is>
      </c>
    </row>
    <row r="43">
      <c r="A43" s="10" t="inlineStr">
        <is>
          <t>Logistics</t>
        </is>
      </c>
      <c r="B43" s="24" t="inlineStr">
        <is>
          <t>TIN</t>
        </is>
      </c>
      <c r="C43" s="23" t="inlineStr">
        <is>
          <t>Yes</t>
        </is>
      </c>
      <c r="D43" s="23" t="inlineStr">
        <is>
          <t>Text</t>
        </is>
      </c>
      <c r="E43" s="23" t="inlineStr">
        <is>
          <t>000-000-000-000 (12 digits); unique</t>
        </is>
      </c>
      <c r="F43" s="23" t="inlineStr">
        <is>
          <t>234-567-890-000</t>
        </is>
      </c>
      <c r="G43" s="23" t="inlineStr">
        <is>
          <t>567-890-123-000</t>
        </is>
      </c>
    </row>
    <row r="44">
      <c r="A44" s="10" t="inlineStr">
        <is>
          <t>Logistics</t>
        </is>
      </c>
      <c r="B44" s="24" t="inlineStr">
        <is>
          <t>Region</t>
        </is>
      </c>
      <c r="C44" s="23" t="inlineStr">
        <is>
          <t>Yes</t>
        </is>
      </c>
      <c r="D44" s="23" t="inlineStr">
        <is>
          <t>Dropdown</t>
        </is>
      </c>
      <c r="E44" s="23" t="inlineStr">
        <is>
          <t>Philippine regions</t>
        </is>
      </c>
      <c r="F44" s="23" t="inlineStr">
        <is>
          <t>National Capital Region (NCR)</t>
        </is>
      </c>
      <c r="G44" s="23" t="inlineStr">
        <is>
          <t>Region XI (Davao Region)</t>
        </is>
      </c>
    </row>
    <row r="45">
      <c r="A45" s="10" t="inlineStr">
        <is>
          <t>Logistics</t>
        </is>
      </c>
      <c r="B45" s="24" t="inlineStr">
        <is>
          <t>Province</t>
        </is>
      </c>
      <c r="C45" s="23" t="inlineStr">
        <is>
          <t>Yes</t>
        </is>
      </c>
      <c r="D45" s="23" t="inlineStr">
        <is>
          <t>Dropdown</t>
        </is>
      </c>
      <c r="E45" s="23" t="inlineStr">
        <is>
          <t>Filtered by Region</t>
        </is>
      </c>
      <c r="F45" s="23" t="inlineStr">
        <is>
          <t>Metro Manila</t>
        </is>
      </c>
      <c r="G45" s="23" t="inlineStr">
        <is>
          <t>Davao del Sur</t>
        </is>
      </c>
    </row>
    <row r="46">
      <c r="A46" s="10" t="inlineStr">
        <is>
          <t>Logistics</t>
        </is>
      </c>
      <c r="B46" s="24" t="inlineStr">
        <is>
          <t>City / Municipality</t>
        </is>
      </c>
      <c r="C46" s="23" t="inlineStr">
        <is>
          <t>Yes</t>
        </is>
      </c>
      <c r="D46" s="23" t="inlineStr">
        <is>
          <t>Dropdown</t>
        </is>
      </c>
      <c r="E46" s="23" t="inlineStr">
        <is>
          <t>Filtered by Province</t>
        </is>
      </c>
      <c r="F46" s="23" t="inlineStr">
        <is>
          <t>Pasig City</t>
        </is>
      </c>
      <c r="G46" s="23" t="inlineStr">
        <is>
          <t>Davao City</t>
        </is>
      </c>
    </row>
    <row r="47">
      <c r="A47" s="10" t="inlineStr">
        <is>
          <t>Logistics</t>
        </is>
      </c>
      <c r="B47" s="24" t="inlineStr">
        <is>
          <t>Barangay</t>
        </is>
      </c>
      <c r="C47" s="23" t="inlineStr">
        <is>
          <t>Yes</t>
        </is>
      </c>
      <c r="D47" s="23" t="inlineStr">
        <is>
          <t>Dropdown</t>
        </is>
      </c>
      <c r="E47" s="23" t="inlineStr">
        <is>
          <t>Filtered by City / Municipality</t>
        </is>
      </c>
      <c r="F47" s="23" t="inlineStr">
        <is>
          <t>Kapitolyo</t>
        </is>
      </c>
      <c r="G47" s="23" t="inlineStr">
        <is>
          <t>Buhangin</t>
        </is>
      </c>
    </row>
    <row r="48">
      <c r="A48" s="10" t="inlineStr">
        <is>
          <t>Logistics</t>
        </is>
      </c>
      <c r="B48" s="24" t="inlineStr">
        <is>
          <t>Street Address</t>
        </is>
      </c>
      <c r="C48" s="23" t="inlineStr">
        <is>
          <t>Yes</t>
        </is>
      </c>
      <c r="D48" s="23" t="inlineStr">
        <is>
          <t>Text</t>
        </is>
      </c>
      <c r="E48" s="23" t="inlineStr">
        <is>
          <t>House, unit or lot number and street</t>
        </is>
      </c>
      <c r="F48" s="23" t="inlineStr">
        <is>
          <t>Unit 5B, 88 West Capitol Drive</t>
        </is>
      </c>
      <c r="G48" s="23" t="inlineStr">
        <is>
          <t>Door 3, 210 Sampaguita St.</t>
        </is>
      </c>
    </row>
    <row r="49">
      <c r="A49" s="10" t="inlineStr">
        <is>
          <t>Logistics</t>
        </is>
      </c>
      <c r="B49" s="24" t="inlineStr">
        <is>
          <t>Postal Code</t>
        </is>
      </c>
      <c r="C49" s="23" t="inlineStr">
        <is>
          <t>Yes</t>
        </is>
      </c>
      <c r="D49" s="23" t="inlineStr">
        <is>
          <t>Text</t>
        </is>
      </c>
      <c r="E49" s="23" t="inlineStr">
        <is>
          <t>Exactly 4 digits</t>
        </is>
      </c>
      <c r="F49" s="23" t="inlineStr">
        <is>
          <t>1603</t>
        </is>
      </c>
      <c r="G49" s="23" t="inlineStr">
        <is>
          <t>8000</t>
        </is>
      </c>
    </row>
    <row r="50" ht="26.4" customHeight="1">
      <c r="A50" s="10" t="inlineStr">
        <is>
          <t>Logistics</t>
        </is>
      </c>
      <c r="B50" s="24" t="inlineStr">
        <is>
          <t>Contact Person First Name</t>
        </is>
      </c>
      <c r="C50" s="23" t="inlineStr">
        <is>
          <t>Yes</t>
        </is>
      </c>
      <c r="D50" s="23" t="inlineStr">
        <is>
          <t>Text</t>
        </is>
      </c>
      <c r="E50" s="23" t="inlineStr">
        <is>
          <t>2 to 50 characters; letters, spaces, hyphen, apostrophe, period</t>
        </is>
      </c>
      <c r="F50" s="23" t="inlineStr">
        <is>
          <t>Carlos Antonio</t>
        </is>
      </c>
      <c r="G50" s="23" t="inlineStr">
        <is>
          <t>Liza Mae</t>
        </is>
      </c>
    </row>
    <row r="51" ht="26.4" customHeight="1">
      <c r="A51" s="10" t="inlineStr">
        <is>
          <t>Logistics</t>
        </is>
      </c>
      <c r="B51" s="24" t="inlineStr">
        <is>
          <t>Contact Person Last Name</t>
        </is>
      </c>
      <c r="C51" s="23" t="inlineStr">
        <is>
          <t>Yes</t>
        </is>
      </c>
      <c r="D51" s="23" t="inlineStr">
        <is>
          <t>Text</t>
        </is>
      </c>
      <c r="E51" s="23" t="inlineStr">
        <is>
          <t>2 to 50 characters; letters, spaces, hyphen, apostrophe, period</t>
        </is>
      </c>
      <c r="F51" s="23" t="inlineStr">
        <is>
          <t>Mendoza</t>
        </is>
      </c>
      <c r="G51" s="23" t="inlineStr">
        <is>
          <t>Fernandez</t>
        </is>
      </c>
    </row>
    <row r="52">
      <c r="A52" s="10" t="inlineStr">
        <is>
          <t>Logistics</t>
        </is>
      </c>
      <c r="B52" s="24" t="inlineStr">
        <is>
          <t>Position</t>
        </is>
      </c>
      <c r="C52" s="23" t="inlineStr">
        <is>
          <t>Yes</t>
        </is>
      </c>
      <c r="D52" s="23" t="inlineStr">
        <is>
          <t>Text</t>
        </is>
      </c>
      <c r="E52" s="23" t="inlineStr">
        <is>
          <t>Job title of the contact person</t>
        </is>
      </c>
      <c r="F52" s="23" t="inlineStr">
        <is>
          <t>Operations Manager</t>
        </is>
      </c>
      <c r="G52" s="23" t="inlineStr">
        <is>
          <t>General Manager</t>
        </is>
      </c>
    </row>
    <row r="53">
      <c r="A53" s="10" t="inlineStr">
        <is>
          <t>Logistics</t>
        </is>
      </c>
      <c r="B53" s="24" t="inlineStr">
        <is>
          <t>Email</t>
        </is>
      </c>
      <c r="C53" s="23" t="inlineStr">
        <is>
          <t>Yes</t>
        </is>
      </c>
      <c r="D53" s="23" t="inlineStr">
        <is>
          <t>Email</t>
        </is>
      </c>
      <c r="E53" s="23" t="inlineStr">
        <is>
          <t>Valid email format; unique</t>
        </is>
      </c>
      <c r="F53" s="23" t="inlineStr">
        <is>
          <t>operations@bilishatid.example.com</t>
        </is>
      </c>
      <c r="G53" s="23" t="inlineStr">
        <is>
          <t>admin@agilacargo.example.com</t>
        </is>
      </c>
    </row>
    <row r="54">
      <c r="A54" s="10" t="inlineStr">
        <is>
          <t>Logistics</t>
        </is>
      </c>
      <c r="B54" s="24" t="inlineStr">
        <is>
          <t>Mobile Number</t>
        </is>
      </c>
      <c r="C54" s="23" t="inlineStr">
        <is>
          <t>Yes</t>
        </is>
      </c>
      <c r="D54" s="23" t="inlineStr">
        <is>
          <t>Text</t>
        </is>
      </c>
      <c r="E54" s="23" t="inlineStr">
        <is>
          <t>09XXXXXXXXX or +639XXXXXXXXX; unique</t>
        </is>
      </c>
      <c r="F54" s="23" t="inlineStr">
        <is>
          <t>09285551234</t>
        </is>
      </c>
      <c r="G54" s="23" t="inlineStr">
        <is>
          <t>09396667890</t>
        </is>
      </c>
    </row>
    <row r="55">
      <c r="A55" s="10" t="inlineStr">
        <is>
          <t>Logistics</t>
        </is>
      </c>
      <c r="B55" s="24" t="inlineStr">
        <is>
          <t>Service Areas</t>
        </is>
      </c>
      <c r="C55" s="23" t="inlineStr">
        <is>
          <t>Yes</t>
        </is>
      </c>
      <c r="D55" s="23" t="inlineStr">
        <is>
          <t>Multi-select</t>
        </is>
      </c>
      <c r="E55" s="23" t="inlineStr">
        <is>
          <t>At least one region</t>
        </is>
      </c>
      <c r="F55" s="23" t="inlineStr">
        <is>
          <t>NCR; Region IV-A (CALABARZON)</t>
        </is>
      </c>
      <c r="G55" s="23" t="inlineStr">
        <is>
          <t>Region XI (Davao Region)</t>
        </is>
      </c>
    </row>
    <row r="56">
      <c r="A56" s="10" t="inlineStr">
        <is>
          <t>Logistics</t>
        </is>
      </c>
      <c r="B56" s="24" t="inlineStr">
        <is>
          <t>SEC Certificate (upload)</t>
        </is>
      </c>
      <c r="C56" s="23" t="inlineStr">
        <is>
          <t>Yes</t>
        </is>
      </c>
      <c r="D56" s="23" t="inlineStr">
        <is>
          <t>File</t>
        </is>
      </c>
      <c r="E56" s="23" t="inlineStr">
        <is>
          <t>JPG, PNG or PDF; max 5 MB</t>
        </is>
      </c>
      <c r="F56" s="23" t="inlineStr">
        <is>
          <t>sec_certificate.pdf (1.0 MB)</t>
        </is>
      </c>
      <c r="G56" s="23" t="inlineStr">
        <is>
          <t>sec_certificate.pdf (1.0 MB)</t>
        </is>
      </c>
    </row>
    <row r="57">
      <c r="A57" s="10" t="inlineStr">
        <is>
          <t>Logistics</t>
        </is>
      </c>
      <c r="B57" s="24" t="inlineStr">
        <is>
          <t>BIR Form 2303 (upload)</t>
        </is>
      </c>
      <c r="C57" s="23" t="inlineStr">
        <is>
          <t>Yes</t>
        </is>
      </c>
      <c r="D57" s="23" t="inlineStr">
        <is>
          <t>File</t>
        </is>
      </c>
      <c r="E57" s="23" t="inlineStr">
        <is>
          <t>JPG, PNG or PDF; max 5 MB</t>
        </is>
      </c>
      <c r="F57" s="23" t="inlineStr">
        <is>
          <t>bir_2303.pdf (1.1 MB)</t>
        </is>
      </c>
      <c r="G57" s="23" t="inlineStr">
        <is>
          <t>bir_2303.pdf (1.1 MB)</t>
        </is>
      </c>
    </row>
    <row r="58">
      <c r="A58" s="10" t="inlineStr">
        <is>
          <t>Logistics</t>
        </is>
      </c>
      <c r="B58" s="24" t="inlineStr">
        <is>
          <t>Mayor's / Business Permit (upload)</t>
        </is>
      </c>
      <c r="C58" s="23" t="inlineStr">
        <is>
          <t>Yes</t>
        </is>
      </c>
      <c r="D58" s="23" t="inlineStr">
        <is>
          <t>File</t>
        </is>
      </c>
      <c r="E58" s="23" t="inlineStr">
        <is>
          <t>JPG, PNG or PDF; max 5 MB</t>
        </is>
      </c>
      <c r="F58" s="23" t="inlineStr">
        <is>
          <t>mayors_permit.pdf (1.3 MB)</t>
        </is>
      </c>
      <c r="G58" s="23" t="inlineStr">
        <is>
          <t>mayors_permit.pdf (1.3 MB)</t>
        </is>
      </c>
    </row>
    <row r="59" ht="26.4" customHeight="1">
      <c r="A59" s="10" t="inlineStr">
        <is>
          <t>Logistics</t>
        </is>
      </c>
      <c r="B59" s="24" t="inlineStr">
        <is>
          <t>Valid ID of Authorized Representative (upload)</t>
        </is>
      </c>
      <c r="C59" s="23" t="inlineStr">
        <is>
          <t>Yes</t>
        </is>
      </c>
      <c r="D59" s="23" t="inlineStr">
        <is>
          <t>File</t>
        </is>
      </c>
      <c r="E59" s="23" t="inlineStr">
        <is>
          <t>JPG, PNG or PDF; max 5 MB</t>
        </is>
      </c>
      <c r="F59" s="23" t="inlineStr">
        <is>
          <t>govt_id_front.jpg (1.2 MB)</t>
        </is>
      </c>
      <c r="G59" s="23" t="inlineStr">
        <is>
          <t>govt_id_front.png (2.4 MB)</t>
        </is>
      </c>
    </row>
    <row r="60" ht="26.4" customHeight="1">
      <c r="A60" s="10" t="inlineStr">
        <is>
          <t>Logistics</t>
        </is>
      </c>
      <c r="B60" s="24" t="inlineStr">
        <is>
          <t>Password</t>
        </is>
      </c>
      <c r="C60" s="23" t="inlineStr">
        <is>
          <t>Yes</t>
        </is>
      </c>
      <c r="D60" s="23" t="inlineStr">
        <is>
          <t>Password</t>
        </is>
      </c>
      <c r="E60" s="23" t="inlineStr">
        <is>
          <t>Min 8 characters; uppercase, lowercase, number, special character</t>
        </is>
      </c>
      <c r="F60" s="23" t="inlineStr">
        <is>
          <t>Hatid@2026</t>
        </is>
      </c>
      <c r="G60" s="23" t="inlineStr">
        <is>
          <t>Agila#Cargo26</t>
        </is>
      </c>
    </row>
    <row r="61">
      <c r="A61" s="10" t="inlineStr">
        <is>
          <t>Logistics</t>
        </is>
      </c>
      <c r="B61" s="24" t="inlineStr">
        <is>
          <t>Confirm Password</t>
        </is>
      </c>
      <c r="C61" s="23" t="inlineStr">
        <is>
          <t>Yes</t>
        </is>
      </c>
      <c r="D61" s="23" t="inlineStr">
        <is>
          <t>Password</t>
        </is>
      </c>
      <c r="E61" s="23" t="inlineStr">
        <is>
          <t>Must match Password</t>
        </is>
      </c>
      <c r="F61" s="23" t="inlineStr">
        <is>
          <t>Hatid@2026</t>
        </is>
      </c>
      <c r="G61" s="23" t="inlineStr">
        <is>
          <t>Agila#Cargo26</t>
        </is>
      </c>
    </row>
    <row r="62">
      <c r="A62" s="10" t="inlineStr">
        <is>
          <t>Logistics</t>
        </is>
      </c>
      <c r="B62" s="24" t="inlineStr">
        <is>
          <t>Terms and Privacy Policy</t>
        </is>
      </c>
      <c r="C62" s="23" t="inlineStr">
        <is>
          <t>Yes</t>
        </is>
      </c>
      <c r="D62" s="23" t="inlineStr">
        <is>
          <t>Checkbox</t>
        </is>
      </c>
      <c r="E62" s="23" t="inlineStr">
        <is>
          <t>Must be ticked</t>
        </is>
      </c>
      <c r="F62" s="23" t="inlineStr">
        <is>
          <t>Ticked</t>
        </is>
      </c>
      <c r="G62" s="23" t="inlineStr">
        <is>
          <t>Ticked</t>
        </is>
      </c>
    </row>
    <row r="64">
      <c r="A64" s="9" t="inlineStr">
        <is>
          <t>Rider: Created by an Approved logistics account</t>
        </is>
      </c>
    </row>
    <row r="65">
      <c r="A65" s="1" t="inlineStr">
        <is>
          <t>Role</t>
        </is>
      </c>
      <c r="B65" s="1" t="inlineStr">
        <is>
          <t>Field</t>
        </is>
      </c>
      <c r="C65" s="1" t="inlineStr">
        <is>
          <t>Required</t>
        </is>
      </c>
      <c r="D65" s="1" t="inlineStr">
        <is>
          <t>Input type</t>
        </is>
      </c>
      <c r="E65" s="1" t="inlineStr">
        <is>
          <t>Format / rule</t>
        </is>
      </c>
      <c r="F65" s="1" t="inlineStr">
        <is>
          <t>Account 1 (valid)</t>
        </is>
      </c>
      <c r="G65" s="1" t="inlineStr">
        <is>
          <t>Account 2 (valid)</t>
        </is>
      </c>
    </row>
    <row r="66" ht="26.4" customHeight="1">
      <c r="A66" s="10" t="inlineStr">
        <is>
          <t>Rider</t>
        </is>
      </c>
      <c r="B66" s="24" t="inlineStr">
        <is>
          <t>First Name</t>
        </is>
      </c>
      <c r="C66" s="23" t="inlineStr">
        <is>
          <t>Yes</t>
        </is>
      </c>
      <c r="D66" s="23" t="inlineStr">
        <is>
          <t>Text</t>
        </is>
      </c>
      <c r="E66" s="23" t="inlineStr">
        <is>
          <t>2 to 50 characters; letters, spaces, hyphen, apostrophe, period</t>
        </is>
      </c>
      <c r="F66" s="23" t="inlineStr">
        <is>
          <t>Pedro Jose</t>
        </is>
      </c>
      <c r="G66" s="23" t="inlineStr">
        <is>
          <t>Mark Anthony</t>
        </is>
      </c>
    </row>
    <row r="67" ht="26.4" customHeight="1">
      <c r="A67" s="10" t="inlineStr">
        <is>
          <t>Rider</t>
        </is>
      </c>
      <c r="B67" s="24" t="inlineStr">
        <is>
          <t>Last Name</t>
        </is>
      </c>
      <c r="C67" s="23" t="inlineStr">
        <is>
          <t>Yes</t>
        </is>
      </c>
      <c r="D67" s="23" t="inlineStr">
        <is>
          <t>Text</t>
        </is>
      </c>
      <c r="E67" s="23" t="inlineStr">
        <is>
          <t>2 to 50 characters; letters, spaces, hyphen, apostrophe, period</t>
        </is>
      </c>
      <c r="F67" s="23" t="inlineStr">
        <is>
          <t>Garcia</t>
        </is>
      </c>
      <c r="G67" s="23" t="inlineStr">
        <is>
          <t>Bautista</t>
        </is>
      </c>
    </row>
    <row r="68">
      <c r="A68" s="10" t="inlineStr">
        <is>
          <t>Rider</t>
        </is>
      </c>
      <c r="B68" s="24" t="inlineStr">
        <is>
          <t>Date of Birth</t>
        </is>
      </c>
      <c r="C68" s="23" t="inlineStr">
        <is>
          <t>Yes</t>
        </is>
      </c>
      <c r="D68" s="23" t="inlineStr">
        <is>
          <t>Date picker</t>
        </is>
      </c>
      <c r="E68" s="23" t="inlineStr">
        <is>
          <t>At least 18 years old</t>
        </is>
      </c>
      <c r="F68" s="23" t="inlineStr">
        <is>
          <t>03/22/1995</t>
        </is>
      </c>
      <c r="G68" s="23" t="inlineStr">
        <is>
          <t>08/09/1999</t>
        </is>
      </c>
    </row>
    <row r="69">
      <c r="A69" s="10" t="inlineStr">
        <is>
          <t>Rider</t>
        </is>
      </c>
      <c r="B69" s="24" t="inlineStr">
        <is>
          <t>Email</t>
        </is>
      </c>
      <c r="C69" s="23" t="inlineStr">
        <is>
          <t>Yes</t>
        </is>
      </c>
      <c r="D69" s="23" t="inlineStr">
        <is>
          <t>Email</t>
        </is>
      </c>
      <c r="E69" s="23" t="inlineStr">
        <is>
          <t>Valid email format; unique</t>
        </is>
      </c>
      <c r="F69" s="23" t="inlineStr">
        <is>
          <t>pedrojose.garcia@example.com</t>
        </is>
      </c>
      <c r="G69" s="23" t="inlineStr">
        <is>
          <t>markanthony.bautista@example.com</t>
        </is>
      </c>
    </row>
    <row r="70">
      <c r="A70" s="10" t="inlineStr">
        <is>
          <t>Rider</t>
        </is>
      </c>
      <c r="B70" s="24" t="inlineStr">
        <is>
          <t>Mobile Number</t>
        </is>
      </c>
      <c r="C70" s="23" t="inlineStr">
        <is>
          <t>Yes</t>
        </is>
      </c>
      <c r="D70" s="23" t="inlineStr">
        <is>
          <t>Text</t>
        </is>
      </c>
      <c r="E70" s="23" t="inlineStr">
        <is>
          <t>09XXXXXXXXX or +639XXXXXXXXX; unique</t>
        </is>
      </c>
      <c r="F70" s="23" t="inlineStr">
        <is>
          <t>09451239876</t>
        </is>
      </c>
      <c r="G70" s="23" t="inlineStr">
        <is>
          <t>09662345678</t>
        </is>
      </c>
    </row>
    <row r="71">
      <c r="A71" s="10" t="inlineStr">
        <is>
          <t>Rider</t>
        </is>
      </c>
      <c r="B71" s="24" t="inlineStr">
        <is>
          <t>Driver's License No.</t>
        </is>
      </c>
      <c r="C71" s="23" t="inlineStr">
        <is>
          <t>Yes</t>
        </is>
      </c>
      <c r="D71" s="23" t="inlineStr">
        <is>
          <t>Text</t>
        </is>
      </c>
      <c r="E71" s="23" t="inlineStr">
        <is>
          <t>A00-00-000000; unique</t>
        </is>
      </c>
      <c r="F71" s="23" t="inlineStr">
        <is>
          <t>N01-23-456789</t>
        </is>
      </c>
      <c r="G71" s="23" t="inlineStr">
        <is>
          <t>D05-19-123456</t>
        </is>
      </c>
    </row>
    <row r="72">
      <c r="A72" s="10" t="inlineStr">
        <is>
          <t>Rider</t>
        </is>
      </c>
      <c r="B72" s="24" t="inlineStr">
        <is>
          <t>License Expiry Date</t>
        </is>
      </c>
      <c r="C72" s="23" t="inlineStr">
        <is>
          <t>Yes</t>
        </is>
      </c>
      <c r="D72" s="23" t="inlineStr">
        <is>
          <t>Date picker</t>
        </is>
      </c>
      <c r="E72" s="23" t="inlineStr">
        <is>
          <t>Today or later</t>
        </is>
      </c>
      <c r="F72" s="23" t="inlineStr">
        <is>
          <t>03/22/2030</t>
        </is>
      </c>
      <c r="G72" s="23" t="inlineStr">
        <is>
          <t>08/09/2031</t>
        </is>
      </c>
    </row>
    <row r="73">
      <c r="A73" s="10" t="inlineStr">
        <is>
          <t>Rider</t>
        </is>
      </c>
      <c r="B73" s="24" t="inlineStr">
        <is>
          <t>Vehicle Type</t>
        </is>
      </c>
      <c r="C73" s="23" t="inlineStr">
        <is>
          <t>Yes</t>
        </is>
      </c>
      <c r="D73" s="23" t="inlineStr">
        <is>
          <t>Dropdown</t>
        </is>
      </c>
      <c r="E73" s="23" t="inlineStr">
        <is>
          <t>Motorcycle, Car or Van</t>
        </is>
      </c>
      <c r="F73" s="23" t="inlineStr">
        <is>
          <t>Motorcycle</t>
        </is>
      </c>
      <c r="G73" s="23" t="inlineStr">
        <is>
          <t>Van</t>
        </is>
      </c>
    </row>
    <row r="74">
      <c r="A74" s="10" t="inlineStr">
        <is>
          <t>Rider</t>
        </is>
      </c>
      <c r="B74" s="24" t="inlineStr">
        <is>
          <t>Plate Number</t>
        </is>
      </c>
      <c r="C74" s="23" t="inlineStr">
        <is>
          <t>Yes</t>
        </is>
      </c>
      <c r="D74" s="23" t="inlineStr">
        <is>
          <t>Text</t>
        </is>
      </c>
      <c r="E74" s="23" t="inlineStr">
        <is>
          <t>Unique</t>
        </is>
      </c>
      <c r="F74" s="23" t="inlineStr">
        <is>
          <t>123ABC</t>
        </is>
      </c>
      <c r="G74" s="23" t="inlineStr">
        <is>
          <t>NBC1234</t>
        </is>
      </c>
    </row>
    <row r="75">
      <c r="A75" s="10" t="inlineStr">
        <is>
          <t>Rider</t>
        </is>
      </c>
      <c r="B75" s="24" t="inlineStr">
        <is>
          <t>Driver's License (upload)</t>
        </is>
      </c>
      <c r="C75" s="23" t="inlineStr">
        <is>
          <t>Yes</t>
        </is>
      </c>
      <c r="D75" s="23" t="inlineStr">
        <is>
          <t>File</t>
        </is>
      </c>
      <c r="E75" s="23" t="inlineStr">
        <is>
          <t>JPG, PNG or PDF; max 5 MB</t>
        </is>
      </c>
      <c r="F75" s="23" t="inlineStr">
        <is>
          <t>drivers_license.jpg (1.5 MB)</t>
        </is>
      </c>
      <c r="G75" s="23" t="inlineStr">
        <is>
          <t>drivers_license.png (2.0 MB)</t>
        </is>
      </c>
    </row>
    <row r="76">
      <c r="A76" s="10" t="inlineStr">
        <is>
          <t>Rider</t>
        </is>
      </c>
      <c r="B76" s="24" t="inlineStr">
        <is>
          <t>Vehicle OR/CR (upload)</t>
        </is>
      </c>
      <c r="C76" s="23" t="inlineStr">
        <is>
          <t>Yes</t>
        </is>
      </c>
      <c r="D76" s="23" t="inlineStr">
        <is>
          <t>File</t>
        </is>
      </c>
      <c r="E76" s="23" t="inlineStr">
        <is>
          <t>JPG, PNG or PDF; max 5 MB</t>
        </is>
      </c>
      <c r="F76" s="23" t="inlineStr">
        <is>
          <t>or_cr.pdf (900 KB)</t>
        </is>
      </c>
      <c r="G76" s="23" t="inlineStr">
        <is>
          <t>or_cr.pdf (900 KB)</t>
        </is>
      </c>
    </row>
    <row r="77" ht="26.4" customHeight="1">
      <c r="A77" s="10" t="inlineStr">
        <is>
          <t>Rider</t>
        </is>
      </c>
      <c r="B77" s="24" t="inlineStr">
        <is>
          <t>Password (set by the rider at activation)</t>
        </is>
      </c>
      <c r="C77" s="23" t="inlineStr">
        <is>
          <t>Yes</t>
        </is>
      </c>
      <c r="D77" s="23" t="inlineStr">
        <is>
          <t>Password</t>
        </is>
      </c>
      <c r="E77" s="23" t="inlineStr">
        <is>
          <t>Min 8 characters; uppercase, lowercase, number, special character</t>
        </is>
      </c>
      <c r="F77" s="23" t="inlineStr">
        <is>
          <t>Rider@2026</t>
        </is>
      </c>
      <c r="G77" s="23" t="inlineStr">
        <is>
          <t>Hatid#Mark26</t>
        </is>
      </c>
    </row>
    <row r="79">
      <c r="A79" s="9" t="inlineStr">
        <is>
          <t>Other values</t>
        </is>
      </c>
    </row>
    <row r="80" ht="15.75" customHeight="1">
      <c r="A80" s="24" t="inlineStr">
        <is>
          <t>Spare emails for repeat attempts</t>
        </is>
      </c>
      <c r="B80" s="28" t="n"/>
      <c r="C80" s="23" t="inlineStr">
        <is>
          <t>buyer.test01@example.com to buyer.test10@example.com (same pattern for seller.test, logistics.test and rider.test)</t>
        </is>
      </c>
      <c r="D80" s="27" t="n"/>
      <c r="E80" s="27" t="n"/>
      <c r="F80" s="27" t="n"/>
      <c r="G80" s="28" t="n"/>
    </row>
    <row r="81" ht="15.75" customHeight="1">
      <c r="A81" s="24" t="inlineStr">
        <is>
          <t>Spare mobile numbers for repeat attempts</t>
        </is>
      </c>
      <c r="B81" s="28" t="n"/>
      <c r="C81" s="23" t="inlineStr">
        <is>
          <t>09170000001 to 09170000020</t>
        </is>
      </c>
      <c r="D81" s="27" t="n"/>
      <c r="E81" s="27" t="n"/>
      <c r="F81" s="27" t="n"/>
      <c r="G81" s="28" t="n"/>
    </row>
    <row r="82" ht="15.75" customHeight="1">
      <c r="A82" s="24" t="inlineStr">
        <is>
          <t>Admin account for approval tests</t>
        </is>
      </c>
      <c r="B82" s="28" t="n"/>
      <c r="C82" s="23" t="inlineStr">
        <is>
          <t>Use the admin account already seeded in your system</t>
        </is>
      </c>
      <c r="D82" s="27" t="n"/>
      <c r="E82" s="27" t="n"/>
      <c r="F82" s="27" t="n"/>
      <c r="G82" s="28" t="n"/>
    </row>
  </sheetData>
  <mergeCells count="7">
    <mergeCell ref="C82:G82"/>
    <mergeCell ref="A82:B82"/>
    <mergeCell ref="A81:B81"/>
    <mergeCell ref="C81:G81"/>
    <mergeCell ref="A2:G2"/>
    <mergeCell ref="A80:B80"/>
    <mergeCell ref="C80:G80"/>
  </mergeCells>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outlinePr summaryBelow="1" summaryRight="1"/>
    <pageSetUpPr fitToPage="1"/>
  </sheetPr>
  <dimension ref="A1:E22"/>
  <sheetViews>
    <sheetView showGridLines="0" workbookViewId="0">
      <pane ySplit="4" topLeftCell="A5" activePane="bottomLeft" state="frozen"/>
      <selection pane="bottomLeft" activeCell="A1" sqref="A1"/>
    </sheetView>
  </sheetViews>
  <sheetFormatPr baseColWidth="8" defaultColWidth="8.6640625" defaultRowHeight="14.4"/>
  <cols>
    <col width="28" customWidth="1" min="1" max="1"/>
    <col width="10" customWidth="1" min="2" max="2"/>
    <col width="26" customWidth="1" min="3" max="3"/>
    <col width="58" customWidth="1" min="4" max="4"/>
    <col width="16" customWidth="1" min="5" max="5"/>
  </cols>
  <sheetData>
    <row r="1" ht="17.4" customHeight="1">
      <c r="A1" s="7" t="inlineStr">
        <is>
          <t>Upload files to prepare</t>
        </is>
      </c>
    </row>
    <row r="2" ht="30" customHeight="1">
      <c r="A2" s="22" t="inlineStr">
        <is>
          <t>Prepare these files before testing the document uploads. Use sample or blank documents, not anyone's real ID or certificate. The size limit is 5 MB, which is 5,120 KB or 5,242,880 bytes.</t>
        </is>
      </c>
    </row>
    <row r="4">
      <c r="A4" s="1" t="inlineStr">
        <is>
          <t>File name</t>
        </is>
      </c>
      <c r="B4" s="1" t="inlineStr">
        <is>
          <t>Type</t>
        </is>
      </c>
      <c r="C4" s="1" t="inlineStr">
        <is>
          <t>Size</t>
        </is>
      </c>
      <c r="D4" s="1" t="inlineStr">
        <is>
          <t>Used for</t>
        </is>
      </c>
      <c r="E4" s="1" t="inlineStr">
        <is>
          <t>Expected result</t>
        </is>
      </c>
    </row>
    <row r="5">
      <c r="A5" s="8" t="inlineStr">
        <is>
          <t>govt_id_front.jpg</t>
        </is>
      </c>
      <c r="B5" s="4" t="inlineStr">
        <is>
          <t>JPG</t>
        </is>
      </c>
      <c r="C5" s="23" t="inlineStr">
        <is>
          <t>1.2 MB</t>
        </is>
      </c>
      <c r="D5" s="23" t="inlineStr">
        <is>
          <t>Valid government ID</t>
        </is>
      </c>
      <c r="E5" s="4" t="inlineStr">
        <is>
          <t>Accept</t>
        </is>
      </c>
    </row>
    <row r="6">
      <c r="A6" s="8" t="inlineStr">
        <is>
          <t>govt_id_front.png</t>
        </is>
      </c>
      <c r="B6" s="4" t="inlineStr">
        <is>
          <t>PNG</t>
        </is>
      </c>
      <c r="C6" s="23" t="inlineStr">
        <is>
          <t>2.4 MB</t>
        </is>
      </c>
      <c r="D6" s="23" t="inlineStr">
        <is>
          <t>Valid government ID in PNG</t>
        </is>
      </c>
      <c r="E6" s="4" t="inlineStr">
        <is>
          <t>Accept</t>
        </is>
      </c>
    </row>
    <row r="7">
      <c r="A7" s="8" t="inlineStr">
        <is>
          <t>dti_certificate.pdf</t>
        </is>
      </c>
      <c r="B7" s="4" t="inlineStr">
        <is>
          <t>PDF</t>
        </is>
      </c>
      <c r="C7" s="23" t="inlineStr">
        <is>
          <t>850 KB</t>
        </is>
      </c>
      <c r="D7" s="23" t="inlineStr">
        <is>
          <t>DTI Certificate of Business Name Registration</t>
        </is>
      </c>
      <c r="E7" s="4" t="inlineStr">
        <is>
          <t>Accept</t>
        </is>
      </c>
    </row>
    <row r="8">
      <c r="A8" s="8" t="inlineStr">
        <is>
          <t>dti_certificate_clear.pdf</t>
        </is>
      </c>
      <c r="B8" s="4" t="inlineStr">
        <is>
          <t>PDF</t>
        </is>
      </c>
      <c r="C8" s="23" t="inlineStr">
        <is>
          <t>1.0 MB</t>
        </is>
      </c>
      <c r="D8" s="23" t="inlineStr">
        <is>
          <t>Replacement document for the resubmit test (seller)</t>
        </is>
      </c>
      <c r="E8" s="4" t="inlineStr">
        <is>
          <t>Accept</t>
        </is>
      </c>
    </row>
    <row r="9">
      <c r="A9" s="8" t="inlineStr">
        <is>
          <t>sec_certificate.pdf</t>
        </is>
      </c>
      <c r="B9" s="4" t="inlineStr">
        <is>
          <t>PDF</t>
        </is>
      </c>
      <c r="C9" s="23" t="inlineStr">
        <is>
          <t>1.0 MB</t>
        </is>
      </c>
      <c r="D9" s="23" t="inlineStr">
        <is>
          <t>SEC Certificate of Registration</t>
        </is>
      </c>
      <c r="E9" s="4" t="inlineStr">
        <is>
          <t>Accept</t>
        </is>
      </c>
    </row>
    <row r="10">
      <c r="A10" s="8" t="inlineStr">
        <is>
          <t>bir_2303.pdf</t>
        </is>
      </c>
      <c r="B10" s="4" t="inlineStr">
        <is>
          <t>PDF</t>
        </is>
      </c>
      <c r="C10" s="23" t="inlineStr">
        <is>
          <t>1.1 MB</t>
        </is>
      </c>
      <c r="D10" s="23" t="inlineStr">
        <is>
          <t>BIR Certificate of Registration (Form 2303)</t>
        </is>
      </c>
      <c r="E10" s="4" t="inlineStr">
        <is>
          <t>Accept</t>
        </is>
      </c>
    </row>
    <row r="11">
      <c r="A11" s="8" t="inlineStr">
        <is>
          <t>mayors_permit.pdf</t>
        </is>
      </c>
      <c r="B11" s="4" t="inlineStr">
        <is>
          <t>PDF</t>
        </is>
      </c>
      <c r="C11" s="23" t="inlineStr">
        <is>
          <t>1.3 MB</t>
        </is>
      </c>
      <c r="D11" s="23" t="inlineStr">
        <is>
          <t>Mayor's / Business Permit</t>
        </is>
      </c>
      <c r="E11" s="4" t="inlineStr">
        <is>
          <t>Accept</t>
        </is>
      </c>
    </row>
    <row r="12">
      <c r="A12" s="8" t="inlineStr">
        <is>
          <t>mayors_permit_2026.pdf</t>
        </is>
      </c>
      <c r="B12" s="4" t="inlineStr">
        <is>
          <t>PDF</t>
        </is>
      </c>
      <c r="C12" s="23" t="inlineStr">
        <is>
          <t>1.2 MB</t>
        </is>
      </c>
      <c r="D12" s="23" t="inlineStr">
        <is>
          <t>Replacement document for the resubmit test (logistics)</t>
        </is>
      </c>
      <c r="E12" s="4" t="inlineStr">
        <is>
          <t>Accept</t>
        </is>
      </c>
    </row>
    <row r="13">
      <c r="A13" s="8" t="inlineStr">
        <is>
          <t>drivers_license.jpg</t>
        </is>
      </c>
      <c r="B13" s="4" t="inlineStr">
        <is>
          <t>JPG</t>
        </is>
      </c>
      <c r="C13" s="23" t="inlineStr">
        <is>
          <t>1.5 MB</t>
        </is>
      </c>
      <c r="D13" s="23" t="inlineStr">
        <is>
          <t>Rider's driver's license</t>
        </is>
      </c>
      <c r="E13" s="4" t="inlineStr">
        <is>
          <t>Accept</t>
        </is>
      </c>
    </row>
    <row r="14">
      <c r="A14" s="8" t="inlineStr">
        <is>
          <t>drivers_license.png</t>
        </is>
      </c>
      <c r="B14" s="4" t="inlineStr">
        <is>
          <t>PNG</t>
        </is>
      </c>
      <c r="C14" s="23" t="inlineStr">
        <is>
          <t>2.0 MB</t>
        </is>
      </c>
      <c r="D14" s="23" t="inlineStr">
        <is>
          <t>Rider's driver's license in PNG</t>
        </is>
      </c>
      <c r="E14" s="4" t="inlineStr">
        <is>
          <t>Accept</t>
        </is>
      </c>
    </row>
    <row r="15">
      <c r="A15" s="8" t="inlineStr">
        <is>
          <t>drivers_license.pdf</t>
        </is>
      </c>
      <c r="B15" s="4" t="inlineStr">
        <is>
          <t>PDF</t>
        </is>
      </c>
      <c r="C15" s="23" t="inlineStr">
        <is>
          <t>700 KB</t>
        </is>
      </c>
      <c r="D15" s="23" t="inlineStr">
        <is>
          <t>Rider's driver's license in PDF</t>
        </is>
      </c>
      <c r="E15" s="4" t="inlineStr">
        <is>
          <t>Accept</t>
        </is>
      </c>
    </row>
    <row r="16">
      <c r="A16" s="8" t="inlineStr">
        <is>
          <t>or_cr.pdf</t>
        </is>
      </c>
      <c r="B16" s="4" t="inlineStr">
        <is>
          <t>PDF</t>
        </is>
      </c>
      <c r="C16" s="23" t="inlineStr">
        <is>
          <t>900 KB</t>
        </is>
      </c>
      <c r="D16" s="23" t="inlineStr">
        <is>
          <t>Vehicle Official Receipt and Certificate of Registration</t>
        </is>
      </c>
      <c r="E16" s="4" t="inlineStr">
        <is>
          <t>Accept</t>
        </is>
      </c>
    </row>
    <row r="17">
      <c r="A17" s="8" t="inlineStr">
        <is>
          <t>size_4.9MB.jpg</t>
        </is>
      </c>
      <c r="B17" s="4" t="inlineStr">
        <is>
          <t>JPG</t>
        </is>
      </c>
      <c r="C17" s="23" t="inlineStr">
        <is>
          <t>4.9 MB (5,138,022 bytes)</t>
        </is>
      </c>
      <c r="D17" s="23" t="inlineStr">
        <is>
          <t>Just under the size limit</t>
        </is>
      </c>
      <c r="E17" s="4" t="inlineStr">
        <is>
          <t>Accept</t>
        </is>
      </c>
    </row>
    <row r="18">
      <c r="A18" s="8" t="inlineStr">
        <is>
          <t>size_5.0MB.jpg</t>
        </is>
      </c>
      <c r="B18" s="4" t="inlineStr">
        <is>
          <t>JPG</t>
        </is>
      </c>
      <c r="C18" s="23" t="inlineStr">
        <is>
          <t>5.0 MB (5,242,880 bytes)</t>
        </is>
      </c>
      <c r="D18" s="23" t="inlineStr">
        <is>
          <t>Exactly at the size limit</t>
        </is>
      </c>
      <c r="E18" s="4" t="inlineStr">
        <is>
          <t>Accept</t>
        </is>
      </c>
    </row>
    <row r="19">
      <c r="A19" s="8" t="inlineStr">
        <is>
          <t>size_5.1MB.jpg</t>
        </is>
      </c>
      <c r="B19" s="4" t="inlineStr">
        <is>
          <t>JPG</t>
        </is>
      </c>
      <c r="C19" s="23" t="inlineStr">
        <is>
          <t>5.1 MB (5,347,738 bytes)</t>
        </is>
      </c>
      <c r="D19" s="23" t="inlineStr">
        <is>
          <t>Just over the size limit</t>
        </is>
      </c>
      <c r="E19" s="4" t="inlineStr">
        <is>
          <t>Reject</t>
        </is>
      </c>
    </row>
    <row r="20">
      <c r="A20" s="8" t="inlineStr">
        <is>
          <t>price_list.docx</t>
        </is>
      </c>
      <c r="B20" s="4" t="inlineStr">
        <is>
          <t>DOCX</t>
        </is>
      </c>
      <c r="C20" s="23" t="inlineStr">
        <is>
          <t>320 KB</t>
        </is>
      </c>
      <c r="D20" s="23" t="inlineStr">
        <is>
          <t>Wrong file type (Word document)</t>
        </is>
      </c>
      <c r="E20" s="4" t="inlineStr">
        <is>
          <t>Reject</t>
        </is>
      </c>
    </row>
    <row r="21">
      <c r="A21" s="8" t="inlineStr">
        <is>
          <t>store_banner.gif</t>
        </is>
      </c>
      <c r="B21" s="4" t="inlineStr">
        <is>
          <t>GIF</t>
        </is>
      </c>
      <c r="C21" s="23" t="inlineStr">
        <is>
          <t>480 KB</t>
        </is>
      </c>
      <c r="D21" s="23" t="inlineStr">
        <is>
          <t>Wrong file type (GIF image)</t>
        </is>
      </c>
      <c r="E21" s="4" t="inlineStr">
        <is>
          <t>Reject</t>
        </is>
      </c>
    </row>
    <row r="22">
      <c r="A22" s="8" t="inlineStr">
        <is>
          <t>installer.exe</t>
        </is>
      </c>
      <c r="B22" s="4" t="inlineStr">
        <is>
          <t>EXE</t>
        </is>
      </c>
      <c r="C22" s="23" t="inlineStr">
        <is>
          <t>2.1 MB</t>
        </is>
      </c>
      <c r="D22" s="23" t="inlineStr">
        <is>
          <t>Wrong file type (program)</t>
        </is>
      </c>
      <c r="E22" s="4" t="inlineStr">
        <is>
          <t>Reject</t>
        </is>
      </c>
    </row>
  </sheetData>
  <mergeCells count="1">
    <mergeCell ref="A2:E2"/>
  </mergeCells>
  <pageMargins left="0.75" right="0.75" top="1" bottom="1" header="0.511811023622047" footer="0.511811023622047"/>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D20"/>
  <sheetViews>
    <sheetView workbookViewId="0">
      <pane ySplit="4" topLeftCell="A5" activePane="bottomLeft" state="frozen"/>
      <selection pane="bottomLeft" activeCell="A1" sqref="A1"/>
    </sheetView>
  </sheetViews>
  <sheetFormatPr baseColWidth="8" defaultColWidth="8.6640625" defaultRowHeight="14.4"/>
  <cols>
    <col width="8" customWidth="1" min="1" max="1"/>
    <col width="28" customWidth="1" min="2" max="2"/>
    <col width="95" customWidth="1" min="3" max="3"/>
    <col width="38" customWidth="1" min="4" max="4"/>
  </cols>
  <sheetData>
    <row r="1" ht="17.4" customHeight="1">
      <c r="A1" s="7" t="inlineStr">
        <is>
          <t>Assumptions used in the test cases</t>
        </is>
      </c>
    </row>
    <row r="2" ht="30" customHeight="1">
      <c r="A2" s="22" t="inlineStr">
        <is>
          <t>These rules are modeled on Philippine marketplaces, not taken from your actual system. Write your real rule in column D where it differs, then filter the Assumption Ref column on each role sheet to find the test cases to adjust.</t>
        </is>
      </c>
    </row>
    <row r="4" ht="26.4" customHeight="1">
      <c r="A4" s="1" t="inlineStr">
        <is>
          <t>Ref</t>
        </is>
      </c>
      <c r="B4" s="1" t="inlineStr">
        <is>
          <t>Topic</t>
        </is>
      </c>
      <c r="C4" s="1" t="inlineStr">
        <is>
          <t>Assumed rule</t>
        </is>
      </c>
      <c r="D4" s="1" t="inlineStr">
        <is>
          <t>Your system's actual rule (fill in if different)</t>
        </is>
      </c>
    </row>
    <row r="5" ht="26.4" customHeight="1">
      <c r="A5" s="2" t="inlineStr">
        <is>
          <t>A1</t>
        </is>
      </c>
      <c r="B5" s="8" t="inlineStr">
        <is>
          <t>Form fields</t>
        </is>
      </c>
      <c r="C5" s="23" t="inlineStr">
        <is>
          <t>Each role's form has the fields listed on the Test Data sheet, modeled on Philippine marketplaces. Payout details (bank or e-wallet) are set up after approval, not during registration.</t>
        </is>
      </c>
      <c r="D5" s="5" t="inlineStr">
        <is>
          <t>Buyer: first and last name, mobile, date of birth, email, password. Seller: name, mobile, email, password only (shop named automatically). Logistics: company name, optional service area (free text), contact name, mobile, email, password. No addresses, documents or Terms checkbox at registration.</t>
        </is>
      </c>
    </row>
    <row r="6">
      <c r="A6" s="2" t="inlineStr">
        <is>
          <t>A2</t>
        </is>
      </c>
      <c r="B6" s="8" t="inlineStr">
        <is>
          <t>Name rule</t>
        </is>
      </c>
      <c r="C6" s="23" t="inlineStr">
        <is>
          <t>2 to 50 characters. Letters (including ñ), spaces, hyphen, apostrophe and period only.</t>
        </is>
      </c>
      <c r="D6" s="5" t="inlineStr">
        <is>
          <t>1 to 100 characters. Letters (including ñ and accents), spaces, hyphen, apostrophe and period; must start with a letter.</t>
        </is>
      </c>
    </row>
    <row r="7" ht="26.4" customHeight="1">
      <c r="A7" s="2" t="inlineStr">
        <is>
          <t>A3</t>
        </is>
      </c>
      <c r="B7" s="8" t="inlineStr">
        <is>
          <t>Email rule</t>
        </is>
      </c>
      <c r="C7" s="23" t="inlineStr">
        <is>
          <t>Must be a valid email format. Unique across all roles (one email = one account). Not case-sensitive. Leading and trailing spaces are removed.</t>
        </is>
      </c>
      <c r="D7" s="5" t="inlineStr">
        <is>
          <t>Valid email, unique, not case-sensitive, spaces trimmed. An address without a domain extension (name@example) is accepted.</t>
        </is>
      </c>
    </row>
    <row r="8" ht="26.4" customHeight="1">
      <c r="A8" s="2" t="inlineStr">
        <is>
          <t>A4</t>
        </is>
      </c>
      <c r="B8" s="8" t="inlineStr">
        <is>
          <t>Mobile number rule</t>
        </is>
      </c>
      <c r="C8" s="23" t="inlineStr">
        <is>
          <t>Philippine mobile number entered as 09XXXXXXXXX (11 digits) or +639XXXXXXXXX. Both forms are stored as the same number. Unique across all accounts.</t>
        </is>
      </c>
      <c r="D8" s="5" t="inlineStr">
        <is>
          <t>09XXXXXXXXX only (11 digits). +63 is not accepted. Not checked for duplicates.</t>
        </is>
      </c>
    </row>
    <row r="9" ht="26.4" customHeight="1">
      <c r="A9" s="2" t="inlineStr">
        <is>
          <t>A5</t>
        </is>
      </c>
      <c r="B9" s="8" t="inlineStr">
        <is>
          <t>Password rule</t>
        </is>
      </c>
      <c r="C9" s="23" t="inlineStr">
        <is>
          <t>At least 8 characters with at least one uppercase letter, one lowercase letter, one number and one special character. Confirm Password must match.</t>
        </is>
      </c>
      <c r="D9" s="5" t="inlineStr">
        <is>
          <t>At least 8 characters with uppercase, lowercase and a symbol. A number is not required. Confirm Password must match.</t>
        </is>
      </c>
    </row>
    <row r="10">
      <c r="A10" s="2" t="inlineStr">
        <is>
          <t>A6</t>
        </is>
      </c>
      <c r="B10" s="8" t="inlineStr">
        <is>
          <t>Date of birth rule</t>
        </is>
      </c>
      <c r="C10" s="23" t="inlineStr">
        <is>
          <t>Buyers and riders must be at least 18 years old on the day of registration. A future date is not allowed.</t>
        </is>
      </c>
      <c r="D10" s="5" t="inlineStr">
        <is>
          <t>Buyers only: date of birth must be today or earlier. No minimum age. Riders have no date of birth field.</t>
        </is>
      </c>
    </row>
    <row r="11" ht="26.4" customHeight="1">
      <c r="A11" s="2" t="inlineStr">
        <is>
          <t>A7</t>
        </is>
      </c>
      <c r="B11" s="8" t="inlineStr">
        <is>
          <t>Address rule</t>
        </is>
      </c>
      <c r="C11" s="23" t="inlineStr">
        <is>
          <t>Region, Province, City/Municipality and Barangay are linked dropdowns: each list depends on the one before it. Postal Code is exactly 4 digits.</t>
        </is>
      </c>
      <c r="D11" s="5" t="inlineStr">
        <is>
          <t>Not part of registration for sellers or logistics.</t>
        </is>
      </c>
    </row>
    <row r="12" ht="26.4" customHeight="1">
      <c r="A12" s="2" t="inlineStr">
        <is>
          <t>A8</t>
        </is>
      </c>
      <c r="B12" s="8" t="inlineStr">
        <is>
          <t>TIN rule</t>
        </is>
      </c>
      <c r="C12" s="23" t="inlineStr">
        <is>
          <t>12 digits in the form 000-000-000-000 (9-digit TIN plus 3-digit branch code). Unique across seller and logistics accounts.</t>
        </is>
      </c>
      <c r="D12" s="5" t="inlineStr">
        <is>
          <t>TIN is not collected.</t>
        </is>
      </c>
    </row>
    <row r="13" ht="26.4" customHeight="1">
      <c r="A13" s="2" t="inlineStr">
        <is>
          <t>A9</t>
        </is>
      </c>
      <c r="B13" s="8" t="inlineStr">
        <is>
          <t>Email verification (OTP)</t>
        </is>
      </c>
      <c r="C13" s="23" t="inlineStr">
        <is>
          <t>A 6-digit numeric code is emailed after registration. It is valid for 5 minutes. Resending creates a new code and cancels the old one. An account cannot be used until it is verified.</t>
        </is>
      </c>
      <c r="D13" s="5" t="inlineStr">
        <is>
          <t>6-digit code valid for 10 minutes, at most 5 wrong tries. Resend allowed after 1 minute; only the newest code works.</t>
        </is>
      </c>
    </row>
    <row r="14">
      <c r="A14" s="2" t="inlineStr">
        <is>
          <t>A10</t>
        </is>
      </c>
      <c r="B14" s="8" t="inlineStr">
        <is>
          <t>Document upload rule</t>
        </is>
      </c>
      <c r="C14" s="23" t="inlineStr">
        <is>
          <t>Accepted file types: JPG, PNG, PDF. Maximum size: 5 MB (5,120 KB) per file.</t>
        </is>
      </c>
      <c r="D14" s="5" t="inlineStr">
        <is>
          <t>No document uploads at registration.</t>
        </is>
      </c>
    </row>
    <row r="15" ht="26.4" customHeight="1">
      <c r="A15" s="2" t="inlineStr">
        <is>
          <t>A11</t>
        </is>
      </c>
      <c r="B15" s="8" t="inlineStr">
        <is>
          <t>Seller documents by seller type</t>
        </is>
      </c>
      <c r="C15" s="23" t="inlineStr">
        <is>
          <t>Individual: Government-issued ID. Sole Proprietorship: Government-issued ID, DTI Certificate and BIR Form 2303. Corporation: Government-issued ID of the representative, SEC Certificate and BIR Form 2303.</t>
        </is>
      </c>
      <c r="D15" s="5" t="inlineStr">
        <is>
          <t>No seller types or seller documents.</t>
        </is>
      </c>
    </row>
    <row r="16" ht="26.4" customHeight="1">
      <c r="A16" s="2" t="inlineStr">
        <is>
          <t>A12</t>
        </is>
      </c>
      <c r="B16" s="8" t="inlineStr">
        <is>
          <t>Account status flow</t>
        </is>
      </c>
      <c r="C16" s="23" t="inlineStr">
        <is>
          <t>Buyer: Unverified, then Active after OTP. Seller and Logistics: Unverified, then Pending Approval after OTP, then Approved or Rejected by an admin. A rejected applicant can correct the details and resubmit.</t>
        </is>
      </c>
      <c r="D16" s="5" t="inlineStr">
        <is>
          <t>Buyer: active once the email is verified. Seller and Logistics: Pending after verification, then Approved (Active) or Rejected by an admin. No rejection reason, emails or resubmission.</t>
        </is>
      </c>
    </row>
    <row r="17" ht="39.6" customHeight="1">
      <c r="A17" s="2" t="inlineStr">
        <is>
          <t>A13</t>
        </is>
      </c>
      <c r="B17" s="8" t="inlineStr">
        <is>
          <t>Rider account flow</t>
        </is>
      </c>
      <c r="C17" s="23" t="inlineStr">
        <is>
          <t>Riders cannot register themselves. Only an Approved logistics account can create a rider. The rider starts as Pending Activation and becomes Active after setting a password through an emailed activation link, which is valid for 24 hours. Riders do not need separate admin approval.</t>
        </is>
      </c>
      <c r="D17" s="5" t="inlineStr">
        <is>
          <t>Riders apply themselves (Register &gt; Become a rider, or the mobile app), choose a logistics partner, verify their email, then that partner approves or rejects them. No activation link.</t>
        </is>
      </c>
    </row>
    <row r="18" ht="26.4" customHeight="1">
      <c r="A18" s="2" t="inlineStr">
        <is>
          <t>A14</t>
        </is>
      </c>
      <c r="B18" s="8" t="inlineStr">
        <is>
          <t>Unique business identifiers</t>
        </is>
      </c>
      <c r="C18" s="23" t="inlineStr">
        <is>
          <t>Shop Name (3 to 30 characters), Company Name, SEC Registration No. (2 letters followed by 9 digits), Driver's License No. and Plate Number must each be unique.</t>
        </is>
      </c>
      <c r="D18" s="5" t="inlineStr">
        <is>
          <t>Shop name, company name, license number and plate number are not checked for uniqueness. No SEC number.</t>
        </is>
      </c>
    </row>
    <row r="19" ht="26.4" customHeight="1">
      <c r="A19" s="2" t="inlineStr">
        <is>
          <t>A15</t>
        </is>
      </c>
      <c r="B19" s="8" t="inlineStr">
        <is>
          <t>Driver's license rule</t>
        </is>
      </c>
      <c r="C19" s="23" t="inlineStr">
        <is>
          <t>License number follows the LTO form A00-00-000000 (1 letter and 11 digits). The expiry date must be today or a later date.</t>
        </is>
      </c>
      <c r="D19" s="5" t="inlineStr">
        <is>
          <t>Driver's license number is optional free text (up to 40 characters). No expiry date.</t>
        </is>
      </c>
    </row>
    <row r="20">
      <c r="A20" s="2" t="inlineStr">
        <is>
          <t>A16</t>
        </is>
      </c>
      <c r="B20" s="8" t="inlineStr">
        <is>
          <t>Role-based access</t>
        </is>
      </c>
      <c r="C20" s="23" t="inlineStr">
        <is>
          <t>Each role can open only its own pages. Opening another role's page is denied (error 403 or redirect).</t>
        </is>
      </c>
      <c r="D20" s="5" t="inlineStr">
        <is>
          <t>As assumed: other roles' pages return error 403, and signed-out visitors are sent to the login page.</t>
        </is>
      </c>
    </row>
  </sheetData>
  <mergeCells count="1">
    <mergeCell ref="A2:D2"/>
  </mergeCells>
  <pageMargins left="0.75" right="0.75" top="1" bottom="1" header="0.511811023622047" footer="0.511811023622047"/>
  <pageSetup orientation="landscape" paperSize="9" fitToHeight="0" horizontalDpi="300" verticalDpi="300"/>
</worksheet>
</file>

<file path=xl/worksheets/sheet5.xml><?xml version="1.0" encoding="utf-8"?>
<worksheet xmlns="http://schemas.openxmlformats.org/spreadsheetml/2006/main">
  <sheetPr>
    <outlinePr summaryBelow="1" summaryRight="1"/>
    <pageSetUpPr fitToPage="1"/>
  </sheetPr>
  <dimension ref="A1:M31"/>
  <sheetViews>
    <sheetView tabSelected="1" zoomScale="84" zoomScaleNormal="84" workbookViewId="0">
      <pane xSplit="3" ySplit="1" topLeftCell="G25" activePane="bottomRight" state="frozen"/>
      <selection pane="topRight" activeCell="A1" sqref="A1"/>
      <selection pane="bottomLeft" activeCell="A1" sqref="A1"/>
      <selection pane="bottomRight" activeCell="K27" sqref="K27"/>
    </sheetView>
  </sheetViews>
  <sheetFormatPr baseColWidth="8" defaultColWidth="8.6640625" defaultRowHeight="14.4"/>
  <cols>
    <col width="12"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1" t="inlineStr">
        <is>
          <t>Test Case ID</t>
        </is>
      </c>
      <c r="B1" s="1" t="inlineStr">
        <is>
          <t>Module</t>
        </is>
      </c>
      <c r="C1" s="1" t="inlineStr">
        <is>
          <t>Test Scenario</t>
        </is>
      </c>
      <c r="D1" s="1" t="inlineStr">
        <is>
          <t>Technique</t>
        </is>
      </c>
      <c r="E1" s="1" t="inlineStr">
        <is>
          <t>Priority</t>
        </is>
      </c>
      <c r="F1" s="1" t="inlineStr">
        <is>
          <t>Preconditions</t>
        </is>
      </c>
      <c r="G1" s="1" t="inlineStr">
        <is>
          <t>Test Steps</t>
        </is>
      </c>
      <c r="H1" s="1" t="inlineStr">
        <is>
          <t>Test Data</t>
        </is>
      </c>
      <c r="I1" s="1" t="inlineStr">
        <is>
          <t>Expected Result</t>
        </is>
      </c>
      <c r="J1" s="1" t="inlineStr">
        <is>
          <t>Assumption Ref</t>
        </is>
      </c>
      <c r="K1" s="1" t="inlineStr">
        <is>
          <t>Actual Result</t>
        </is>
      </c>
      <c r="L1" s="1" t="inlineStr">
        <is>
          <t>Status</t>
        </is>
      </c>
      <c r="M1" s="1" t="inlineStr">
        <is>
          <t>Remarks</t>
        </is>
      </c>
    </row>
    <row r="2" ht="118.8" customHeight="1">
      <c r="A2" s="2" t="inlineStr">
        <is>
          <t>TC-BUY-001</t>
        </is>
      </c>
      <c r="B2" s="23" t="inlineStr">
        <is>
          <t>Registration Form</t>
        </is>
      </c>
      <c r="C2" s="23" t="inlineStr">
        <is>
          <t>Register with all valid data</t>
        </is>
      </c>
      <c r="D2" s="23" t="inlineStr">
        <is>
          <t>Use Case Testing</t>
        </is>
      </c>
      <c r="E2" s="4" t="inlineStr">
        <is>
          <t>High</t>
        </is>
      </c>
      <c r="F2" s="23" t="inlineStr">
        <is>
          <t>The buyer registration page is open. The email, mobile number and other unique values in the test data are not yet registered.</t>
        </is>
      </c>
      <c r="G2" s="23" t="inlineStr">
        <is>
          <t>1. Fill in every field with the test data.
2. Click Register.</t>
        </is>
      </c>
      <c r="H2" s="23" t="inlineStr">
        <is>
          <t>First Name: Juan Miguel
Last Name: Dela Cruz
Email: juanmiguel.delacruz@example.com
Mobile Number: 09171234567
Date of Birth: 05/14/1998
Password: Mamimili@2026
Confirm Password: Mamimili@2026
Terms and Privacy Policy: Ticked</t>
        </is>
      </c>
      <c r="I2" s="23" t="inlineStr">
        <is>
          <t>The form is accepted with no validation errors. A success message is shown, a 6-digit OTP is sent to the email, and the email verification page opens. The account is saved with status Unverified.</t>
        </is>
      </c>
      <c r="J2" s="4" t="inlineStr">
        <is>
          <t>A1, A9, A12</t>
        </is>
      </c>
      <c r="K2" s="5" t="inlineStr">
        <is>
          <t>Account created. The email verification page opened with "Your verification code has been sent." A 6-digit code was emailed. The account was saved with the email unverified.</t>
        </is>
      </c>
      <c r="L2" s="6" t="inlineStr">
        <is>
          <t>Pass</t>
        </is>
      </c>
      <c r="M2" s="5" t="inlineStr">
        <is>
          <t>The form has no Terms checkbox (see TC-BUY-021).</t>
        </is>
      </c>
    </row>
    <row r="3" ht="39.6" customHeight="1">
      <c r="A3" s="2" t="inlineStr">
        <is>
          <t>TC-BUY-002</t>
        </is>
      </c>
      <c r="B3" s="23" t="inlineStr">
        <is>
          <t>Required Fields</t>
        </is>
      </c>
      <c r="C3" s="23" t="inlineStr">
        <is>
          <t>Submit a completely empty form</t>
        </is>
      </c>
      <c r="D3" s="23" t="inlineStr">
        <is>
          <t>Equivalence Partitioning</t>
        </is>
      </c>
      <c r="E3" s="4" t="inlineStr">
        <is>
          <t>High</t>
        </is>
      </c>
      <c r="F3" s="23" t="inlineStr">
        <is>
          <t>The buyer registration page is open.</t>
        </is>
      </c>
      <c r="G3" s="23" t="inlineStr">
        <is>
          <t>1. Leave every field blank and every dropdown on its default option.
2. Click Register.</t>
        </is>
      </c>
      <c r="H3" s="23" t="inlineStr">
        <is>
          <t>All fields blank</t>
        </is>
      </c>
      <c r="I3" s="23" t="inlineStr">
        <is>
          <t>Registration is blocked. A required-field message is shown for every mandatory field. No account is created and no OTP is sent.</t>
        </is>
      </c>
      <c r="J3" s="4" t="inlineStr">
        <is>
          <t>A1</t>
        </is>
      </c>
      <c r="K3" s="5" t="inlineStr">
        <is>
          <t>Blocked. The browser stops on the first empty required field. With browser checks bypassed, the server lists a required message for First Name, Last Name, Mobile Number, Date of Birth, Email and Password. No account created, no email sent.</t>
        </is>
      </c>
      <c r="L3" s="6" t="inlineStr">
        <is>
          <t>Pass</t>
        </is>
      </c>
      <c r="M3" s="5" t="n"/>
    </row>
    <row r="4" ht="105.6" customHeight="1">
      <c r="A4" s="2" t="inlineStr">
        <is>
          <t>TC-BUY-003</t>
        </is>
      </c>
      <c r="B4" s="23" t="inlineStr">
        <is>
          <t>Required Fields</t>
        </is>
      </c>
      <c r="C4" s="23" t="inlineStr">
        <is>
          <t>Leave one required field blank at a time</t>
        </is>
      </c>
      <c r="D4" s="23" t="inlineStr">
        <is>
          <t>Equivalence Partitioning</t>
        </is>
      </c>
      <c r="E4" s="4" t="inlineStr">
        <is>
          <t>High</t>
        </is>
      </c>
      <c r="F4" s="23" t="inlineStr">
        <is>
          <t>The buyer registration page is open.</t>
        </is>
      </c>
      <c r="G4" s="23" t="inlineStr">
        <is>
          <t>1. Fill in all fields with valid data.
2. Clear one required field.
3. Click Register.
4. Repeat for each field in the test data.</t>
        </is>
      </c>
      <c r="H4" s="23" t="inlineStr">
        <is>
          <t>Clear in turn:
First Name
Last Name
Email
Mobile Number
Date of Birth
Password
Confirm Password</t>
        </is>
      </c>
      <c r="I4" s="23" t="inlineStr">
        <is>
          <t>Each time, registration is blocked and a required-field message is shown on the blank field only. Other entered values (except passwords and uploads) are kept. No account is created.</t>
        </is>
      </c>
      <c r="J4" s="4" t="inlineStr">
        <is>
          <t>A1</t>
        </is>
      </c>
      <c r="K4" s="5" t="inlineStr">
        <is>
          <t>Each blank field was blocked with a message for that field only, and the other values stayed filled in. A blank Confirm Password shows "The password field confirmation does not match." rather than a required message.</t>
        </is>
      </c>
      <c r="L4" s="6" t="inlineStr">
        <is>
          <t>Pass</t>
        </is>
      </c>
      <c r="M4" s="5" t="n"/>
    </row>
    <row r="5" ht="39.6" customHeight="1">
      <c r="A5" s="2" t="inlineStr">
        <is>
          <t>TC-BUY-004</t>
        </is>
      </c>
      <c r="B5" s="23" t="inlineStr">
        <is>
          <t>Name</t>
        </is>
      </c>
      <c r="C5" s="23" t="inlineStr">
        <is>
          <t>Name with numbers or symbols</t>
        </is>
      </c>
      <c r="D5" s="23" t="inlineStr">
        <is>
          <t>Equivalence Partitioning</t>
        </is>
      </c>
      <c r="E5" s="4" t="inlineStr">
        <is>
          <t>Medium</t>
        </is>
      </c>
      <c r="F5" s="23" t="inlineStr">
        <is>
          <t>The buyer registration page is open.</t>
        </is>
      </c>
      <c r="G5" s="23" t="inlineStr">
        <is>
          <t>1. Fill in all other fields with valid data.
2. Enter the test data in the name fields.
3. Click Register.</t>
        </is>
      </c>
      <c r="H5" s="23" t="inlineStr">
        <is>
          <t>First Name: Juan Miguel123
Last Name: Dela Cruz@#</t>
        </is>
      </c>
      <c r="I5" s="23" t="inlineStr">
        <is>
          <t>Registration is blocked. A message on each name field says only letters are allowed.</t>
        </is>
      </c>
      <c r="J5" s="4" t="inlineStr">
        <is>
          <t>A2</t>
        </is>
      </c>
      <c r="K5" s="5" t="inlineStr">
        <is>
          <t>The browser removes digits and symbols while typing ("Juan Miguel123" becomes "Juan Miguel"). If sent anyway, the server rejects both fields: "may contain letters, spaces, apostrophes, periods, and hyphens only." No account created.</t>
        </is>
      </c>
      <c r="L5" s="6" t="inlineStr">
        <is>
          <t>Pass</t>
        </is>
      </c>
      <c r="M5" s="5" t="n"/>
    </row>
    <row r="6" ht="52.8" customHeight="1">
      <c r="A6" s="2" t="inlineStr">
        <is>
          <t>TC-BUY-005</t>
        </is>
      </c>
      <c r="B6" s="23" t="inlineStr">
        <is>
          <t>Name</t>
        </is>
      </c>
      <c r="C6" s="23" t="inlineStr">
        <is>
          <t>Name with ñ and allowed punctuation</t>
        </is>
      </c>
      <c r="D6" s="23" t="inlineStr">
        <is>
          <t>Equivalence Partitioning</t>
        </is>
      </c>
      <c r="E6" s="4" t="inlineStr">
        <is>
          <t>Low</t>
        </is>
      </c>
      <c r="F6" s="23" t="inlineStr">
        <is>
          <t>The buyer registration page is open. The email, mobile number and other unique values in the test data are not yet registered.</t>
        </is>
      </c>
      <c r="G6" s="23" t="inlineStr">
        <is>
          <t>1. Fill in all other fields with valid data.
2. Enter the test data in the name fields.
3. Click Register.</t>
        </is>
      </c>
      <c r="H6" s="23" t="inlineStr">
        <is>
          <t>First Name: Niño Angelo
Last Name: Peñaflor-O'Hara</t>
        </is>
      </c>
      <c r="I6" s="23" t="inlineStr">
        <is>
          <t>The names are accepted and saved exactly as typed, including ñ.</t>
        </is>
      </c>
      <c r="J6" s="4" t="inlineStr">
        <is>
          <t>A2</t>
        </is>
      </c>
      <c r="K6" s="5" t="inlineStr">
        <is>
          <t>Accepted. Saved exactly as "Niño Angelo Peñaflor-O'Hara".</t>
        </is>
      </c>
      <c r="L6" s="6" t="inlineStr">
        <is>
          <t>Pass</t>
        </is>
      </c>
      <c r="M6" s="5" t="n"/>
    </row>
    <row r="7" ht="79.2" customHeight="1">
      <c r="A7" s="2" t="inlineStr">
        <is>
          <t>TC-BUY-006</t>
        </is>
      </c>
      <c r="B7" s="23" t="inlineStr">
        <is>
          <t>Name</t>
        </is>
      </c>
      <c r="C7" s="23" t="inlineStr">
        <is>
          <t>Name length at the limits</t>
        </is>
      </c>
      <c r="D7" s="23" t="inlineStr">
        <is>
          <t>Boundary Value Analysis</t>
        </is>
      </c>
      <c r="E7" s="4" t="inlineStr">
        <is>
          <t>Medium</t>
        </is>
      </c>
      <c r="F7" s="23" t="inlineStr">
        <is>
          <t>The buyer registration page is open. The email, mobile number and other unique values in the test data are not yet registered.</t>
        </is>
      </c>
      <c r="G7" s="23" t="inlineStr">
        <is>
          <t>1. Fill in all other fields with valid data.
2. Enter each first name in the test data, one per attempt.
3. Click Register.</t>
        </is>
      </c>
      <c r="H7" s="23" t="inlineStr">
        <is>
          <t>1 character: J (reject)
2 characters: Jo (accept)
50 characters: Maria Cristina Angelica Bernadette Josefina Leonor (accept)
51 characters: Maria Cristina Angelica Bernadette Josefina Leonora (reject)</t>
        </is>
      </c>
      <c r="I7" s="23" t="inlineStr">
        <is>
          <t>1 and 51 characters are rejected with a length message. 2 and 50 characters are accepted.</t>
        </is>
      </c>
      <c r="J7" s="4" t="inlineStr">
        <is>
          <t>A2</t>
        </is>
      </c>
      <c r="K7" s="5" t="inlineStr">
        <is>
          <t>All four names were accepted, including 1 character ("J") and 51 characters. Accounts were created each time.</t>
        </is>
      </c>
      <c r="L7" s="6" t="inlineStr">
        <is>
          <t>Fail</t>
        </is>
      </c>
      <c r="M7" s="5" t="inlineStr">
        <is>
          <t>Names allow 1 to 100 characters; there is no 2 to 50 limit.</t>
        </is>
      </c>
    </row>
    <row r="8" ht="66" customHeight="1">
      <c r="A8" s="2" t="inlineStr">
        <is>
          <t>TC-BUY-007</t>
        </is>
      </c>
      <c r="B8" s="23" t="inlineStr">
        <is>
          <t>Date of Birth</t>
        </is>
      </c>
      <c r="C8" s="23" t="inlineStr">
        <is>
          <t>Age at the 18-year limit</t>
        </is>
      </c>
      <c r="D8" s="23" t="inlineStr">
        <is>
          <t>Boundary Value Analysis</t>
        </is>
      </c>
      <c r="E8" s="4" t="inlineStr">
        <is>
          <t>High</t>
        </is>
      </c>
      <c r="F8" s="23" t="inlineStr">
        <is>
          <t>The buyer registration page is open. The email, mobile number and other unique values in the test data are not yet registered.</t>
        </is>
      </c>
      <c r="G8" s="23" t="inlineStr">
        <is>
          <t>1. Fill in all other fields with valid data.
2. Enter each date of birth in the test data, one per attempt.
3. Click Register.</t>
        </is>
      </c>
      <c r="H8" s="23">
        <f>"Born "&amp;TEXT(EDATE(TODAY(),-216)+1,"mm/dd/yyyy")&amp;" (17 years old, reject)"&amp;CHAR(10)&amp;"Born "&amp;TEXT(EDATE(TODAY(),-216),"mm/dd/yyyy")&amp;" (turns 18 today, accept)"&amp;CHAR(10)&amp;"Born "&amp;TEXT(EDATE(TODAY(),-216)-1,"mm/dd/yyyy")&amp;" (18 years and 1 day, accept)"</f>
        <v/>
      </c>
      <c r="I8" s="23" t="inlineStr">
        <is>
          <t>The 17-year-old date is rejected with a message that the person must be at least 18. The other two dates are accepted.</t>
        </is>
      </c>
      <c r="J8" s="4" t="inlineStr">
        <is>
          <t>A6</t>
        </is>
      </c>
      <c r="K8" s="5" t="inlineStr">
        <is>
          <t>All three dates were accepted, including the 17-year-old date of birth (18th birthday tomorrow). Accounts were created.</t>
        </is>
      </c>
      <c r="L8" s="6" t="inlineStr">
        <is>
          <t>Fail</t>
        </is>
      </c>
      <c r="M8" s="5" t="inlineStr">
        <is>
          <t>No minimum age check. Only future dates are blocked.</t>
        </is>
      </c>
    </row>
    <row r="9" ht="39.6" customHeight="1">
      <c r="A9" s="2" t="inlineStr">
        <is>
          <t>TC-BUY-008</t>
        </is>
      </c>
      <c r="B9" s="23" t="inlineStr">
        <is>
          <t>Date of Birth</t>
        </is>
      </c>
      <c r="C9" s="23" t="inlineStr">
        <is>
          <t>Date of birth in the future</t>
        </is>
      </c>
      <c r="D9" s="23" t="inlineStr">
        <is>
          <t>Equivalence Partitioning</t>
        </is>
      </c>
      <c r="E9" s="4" t="inlineStr">
        <is>
          <t>Medium</t>
        </is>
      </c>
      <c r="F9" s="23" t="inlineStr">
        <is>
          <t>The buyer registration page is open.</t>
        </is>
      </c>
      <c r="G9" s="23" t="inlineStr">
        <is>
          <t>1. Fill in all other fields with valid data.
2. Enter the date of birth in the test data.
3. Click Register.</t>
        </is>
      </c>
      <c r="H9" s="23">
        <f>"Date of Birth: "&amp;TEXT(TODAY()+1,"mm/dd/yyyy")&amp;" (tomorrow)"</f>
        <v/>
      </c>
      <c r="I9" s="23" t="inlineStr">
        <is>
          <t>Registration is blocked. A message asks for a valid date of birth. If a date picker is used, future dates cannot be selected.</t>
        </is>
      </c>
      <c r="J9" s="4" t="inlineStr">
        <is>
          <t>A6</t>
        </is>
      </c>
      <c r="K9" s="5" t="inlineStr">
        <is>
          <t>Blocked. The date picker does not allow dates after today ("Value must be ... or earlier"), and the server rejects it: "The date of birth field must be a date before or equal to today."</t>
        </is>
      </c>
      <c r="L9" s="6" t="inlineStr">
        <is>
          <t>Pass</t>
        </is>
      </c>
      <c r="M9" s="5" t="n"/>
    </row>
    <row r="10" ht="105.6" customHeight="1">
      <c r="A10" s="2" t="inlineStr">
        <is>
          <t>TC-BUY-009</t>
        </is>
      </c>
      <c r="B10" s="23" t="inlineStr">
        <is>
          <t>Email</t>
        </is>
      </c>
      <c r="C10" s="23" t="inlineStr">
        <is>
          <t>Email in an invalid format</t>
        </is>
      </c>
      <c r="D10" s="23" t="inlineStr">
        <is>
          <t>Equivalence Partitioning</t>
        </is>
      </c>
      <c r="E10" s="4" t="inlineStr">
        <is>
          <t>High</t>
        </is>
      </c>
      <c r="F10" s="23" t="inlineStr">
        <is>
          <t>The buyer registration page is open.</t>
        </is>
      </c>
      <c r="G10" s="23" t="inlineStr">
        <is>
          <t>1. Fill in all other fields with valid data.
2. Enter each email in the test data, one per attempt.
3. Click Register.</t>
        </is>
      </c>
      <c r="H10" s="23" t="inlineStr">
        <is>
          <t>juanmiguel.delacruzexample.com (no @)
juanmiguel.delacruz@ (no domain)
@example.com (no name)
juanmiguel.delacruz@example (no .com)
juanmiguel delacruz@example.com (space)</t>
        </is>
      </c>
      <c r="I10" s="23" t="inlineStr">
        <is>
          <t>Each value is rejected with a message asking for a valid email address. No account is created.</t>
        </is>
      </c>
      <c r="J10" s="4" t="inlineStr">
        <is>
          <t>A3</t>
        </is>
      </c>
      <c r="K10" s="5" t="inlineStr">
        <is>
          <t>Four of five rejected with "must be a valid email address". "juanmiguel.delacruz@example" (no .com) was accepted by both the browser and the server, and an account was created.</t>
        </is>
      </c>
      <c r="L10" s="6" t="inlineStr">
        <is>
          <t>Fail</t>
        </is>
      </c>
      <c r="M10" s="5" t="inlineStr">
        <is>
          <t>Emails without a domain extension are accepted.</t>
        </is>
      </c>
    </row>
    <row r="11" ht="52.8" customHeight="1">
      <c r="A11" s="2" t="inlineStr">
        <is>
          <t>TC-BUY-010</t>
        </is>
      </c>
      <c r="B11" s="23" t="inlineStr">
        <is>
          <t>Email</t>
        </is>
      </c>
      <c r="C11" s="23" t="inlineStr">
        <is>
          <t>Email that is already registered</t>
        </is>
      </c>
      <c r="D11" s="23" t="inlineStr">
        <is>
          <t>Equivalence Partitioning</t>
        </is>
      </c>
      <c r="E11" s="4" t="inlineStr">
        <is>
          <t>High</t>
        </is>
      </c>
      <c r="F11" s="23" t="inlineStr">
        <is>
          <t>The buyer registration page is open. The buyer account juanmiguel.delacruz@example.com already exists.</t>
        </is>
      </c>
      <c r="G11" s="23" t="inlineStr">
        <is>
          <t>1. Fill in all other fields with valid data.
2. Enter the existing email.
3. Click Register.</t>
        </is>
      </c>
      <c r="H11" s="23" t="inlineStr">
        <is>
          <t>Email: juanmiguel.delacruz@example.com</t>
        </is>
      </c>
      <c r="I11" s="23" t="inlineStr">
        <is>
          <t>Registration is blocked. A message says the email is already in use. No account is created.</t>
        </is>
      </c>
      <c r="J11" s="4" t="inlineStr">
        <is>
          <t>A3</t>
        </is>
      </c>
      <c r="K11" s="5" t="inlineStr">
        <is>
          <t>Blocked with "The email has already been taken." No second account created.</t>
        </is>
      </c>
      <c r="L11" s="6" t="inlineStr">
        <is>
          <t>Pass</t>
        </is>
      </c>
      <c r="M11" s="5" t="n"/>
    </row>
    <row r="12" ht="52.8" customHeight="1">
      <c r="A12" s="2" t="inlineStr">
        <is>
          <t>TC-BUY-011</t>
        </is>
      </c>
      <c r="B12" s="23" t="inlineStr">
        <is>
          <t>Email</t>
        </is>
      </c>
      <c r="C12" s="23" t="inlineStr">
        <is>
          <t>Registered email typed in capital letters</t>
        </is>
      </c>
      <c r="D12" s="23" t="inlineStr">
        <is>
          <t>Error Guessing</t>
        </is>
      </c>
      <c r="E12" s="4" t="inlineStr">
        <is>
          <t>Medium</t>
        </is>
      </c>
      <c r="F12" s="23" t="inlineStr">
        <is>
          <t>The buyer registration page is open. The buyer account juanmiguel.delacruz@example.com already exists.</t>
        </is>
      </c>
      <c r="G12" s="23" t="inlineStr">
        <is>
          <t>1. Fill in all other fields with valid data.
2. Enter the same email in capital letters.
3. Click Register.</t>
        </is>
      </c>
      <c r="H12" s="23" t="inlineStr">
        <is>
          <t>Email: JUANMIGUEL.DELACRUZ@EXAMPLE.COM</t>
        </is>
      </c>
      <c r="I12" s="23" t="inlineStr">
        <is>
          <t>The email is treated as a duplicate. Registration is blocked.</t>
        </is>
      </c>
      <c r="J12" s="4" t="inlineStr">
        <is>
          <t>A3</t>
        </is>
      </c>
      <c r="K12" s="5" t="inlineStr">
        <is>
          <t>Blocked with "The email has already been taken." Treated as the same email.</t>
        </is>
      </c>
      <c r="L12" s="6" t="inlineStr">
        <is>
          <t>Pass</t>
        </is>
      </c>
      <c r="M12" s="5" t="n"/>
    </row>
    <row r="13" ht="52.8" customHeight="1">
      <c r="A13" s="2" t="inlineStr">
        <is>
          <t>TC-BUY-012</t>
        </is>
      </c>
      <c r="B13" s="23" t="inlineStr">
        <is>
          <t>Email</t>
        </is>
      </c>
      <c r="C13" s="23" t="inlineStr">
        <is>
          <t>Email with spaces before and after</t>
        </is>
      </c>
      <c r="D13" s="23" t="inlineStr">
        <is>
          <t>Error Guessing</t>
        </is>
      </c>
      <c r="E13" s="4" t="inlineStr">
        <is>
          <t>Low</t>
        </is>
      </c>
      <c r="F13" s="23" t="inlineStr">
        <is>
          <t>The buyer registration page is open. The email, mobile number and other unique values in the test data are not yet registered.</t>
        </is>
      </c>
      <c r="G13" s="23" t="inlineStr">
        <is>
          <t>1. Fill in all other fields with valid data.
2. Type two spaces before and after the email.
3. Click Register.</t>
        </is>
      </c>
      <c r="H13" s="23" t="inlineStr">
        <is>
          <t>Email: "  buyer.test01@example.com  "</t>
        </is>
      </c>
      <c r="I13" s="23" t="inlineStr">
        <is>
          <t>The spaces are removed and the email is saved as buyer.test01@example.com.</t>
        </is>
      </c>
      <c r="J13" s="4" t="inlineStr">
        <is>
          <t>A3</t>
        </is>
      </c>
      <c r="K13" s="5" t="inlineStr">
        <is>
          <t>Accepted. The spaces were removed and the email was saved as buyer.space01@example.com.</t>
        </is>
      </c>
      <c r="L13" s="6" t="inlineStr">
        <is>
          <t>Pass</t>
        </is>
      </c>
      <c r="M13" s="5" t="inlineStr">
        <is>
          <t>Spare emails used a different pattern (buyer.bb01 onwards) because buyer.test01@example.com already exists on the live site.</t>
        </is>
      </c>
    </row>
    <row r="14" ht="52.8" customHeight="1">
      <c r="A14" s="2" t="inlineStr">
        <is>
          <t>TC-BUY-013</t>
        </is>
      </c>
      <c r="B14" s="23" t="inlineStr">
        <is>
          <t>Mobile Number</t>
        </is>
      </c>
      <c r="C14" s="23" t="inlineStr">
        <is>
          <t>Mobile number in an invalid format</t>
        </is>
      </c>
      <c r="D14" s="23" t="inlineStr">
        <is>
          <t>Equivalence Partitioning</t>
        </is>
      </c>
      <c r="E14" s="4" t="inlineStr">
        <is>
          <t>High</t>
        </is>
      </c>
      <c r="F14" s="23" t="inlineStr">
        <is>
          <t>The buyer registration page is open.</t>
        </is>
      </c>
      <c r="G14" s="23" t="inlineStr">
        <is>
          <t>1. Fill in all other fields with valid data.
2. Enter each mobile number in the test data, one per attempt.
3. Click Register.</t>
        </is>
      </c>
      <c r="H14" s="23" t="inlineStr">
        <is>
          <t>0917ABC4567 (letters)
0917-123-456 (symbols, too short)
12345678901 (does not start with 09)
02-8123-4567 (landline)</t>
        </is>
      </c>
      <c r="I14" s="23" t="inlineStr">
        <is>
          <t>Each value is rejected with a message asking for a valid mobile number.</t>
        </is>
      </c>
      <c r="J14" s="4" t="inlineStr">
        <is>
          <t>A4</t>
        </is>
      </c>
      <c r="K14" s="5" t="inlineStr">
        <is>
          <t>Each value was rejected. The browser removes letters and symbols while typing; the server shows "The phone must be an 11-digit Philippine mobile number starting with 09."</t>
        </is>
      </c>
      <c r="L14" s="6" t="inlineStr">
        <is>
          <t>Pass</t>
        </is>
      </c>
      <c r="M14" s="5" t="n"/>
    </row>
    <row r="15" ht="52.8" customHeight="1">
      <c r="A15" s="2" t="inlineStr">
        <is>
          <t>TC-BUY-014</t>
        </is>
      </c>
      <c r="B15" s="23" t="inlineStr">
        <is>
          <t>Mobile Number</t>
        </is>
      </c>
      <c r="C15" s="23" t="inlineStr">
        <is>
          <t>Mobile number length at the limits</t>
        </is>
      </c>
      <c r="D15" s="23" t="inlineStr">
        <is>
          <t>Boundary Value Analysis</t>
        </is>
      </c>
      <c r="E15" s="4" t="inlineStr">
        <is>
          <t>High</t>
        </is>
      </c>
      <c r="F15" s="23" t="inlineStr">
        <is>
          <t>The buyer registration page is open. The email, mobile number and other unique values in the test data are not yet registered.</t>
        </is>
      </c>
      <c r="G15" s="23" t="inlineStr">
        <is>
          <t>1. Fill in all other fields with valid data.
2. Enter each mobile number in the test data, one per attempt.
3. Click Register.</t>
        </is>
      </c>
      <c r="H15" s="23" t="inlineStr">
        <is>
          <t>10 digits: 0917123456 (reject)
11 digits: 09170000001 (accept)
12 digits: 091712345678 (reject)</t>
        </is>
      </c>
      <c r="I15" s="23" t="inlineStr">
        <is>
          <t>10 and 12 digits are rejected with a length message. 11 digits is accepted.</t>
        </is>
      </c>
      <c r="J15" s="4" t="inlineStr">
        <is>
          <t>A4</t>
        </is>
      </c>
      <c r="K15" s="5" t="inlineStr">
        <is>
          <t>10 digits rejected with the 11-digit message. 11 digits accepted. A 12th digit cannot be typed (11-character limit), and the server also rejects 12 digits.</t>
        </is>
      </c>
      <c r="L15" s="6" t="inlineStr">
        <is>
          <t>Pass</t>
        </is>
      </c>
      <c r="M15" s="5" t="n"/>
    </row>
    <row r="16" ht="39.6" customHeight="1">
      <c r="A16" s="2" t="inlineStr">
        <is>
          <t>TC-BUY-015</t>
        </is>
      </c>
      <c r="B16" s="23" t="inlineStr">
        <is>
          <t>Mobile Number</t>
        </is>
      </c>
      <c r="C16" s="23" t="inlineStr">
        <is>
          <t>Mobile number that is already registered</t>
        </is>
      </c>
      <c r="D16" s="23" t="inlineStr">
        <is>
          <t>Equivalence Partitioning</t>
        </is>
      </c>
      <c r="E16" s="4" t="inlineStr">
        <is>
          <t>Medium</t>
        </is>
      </c>
      <c r="F16" s="23" t="inlineStr">
        <is>
          <t>The buyer registration page is open. An account already exists with mobile number 09171234567.</t>
        </is>
      </c>
      <c r="G16" s="23" t="inlineStr">
        <is>
          <t>1. Fill in all other fields with valid data.
2. Enter the existing mobile number.
3. Click Register.</t>
        </is>
      </c>
      <c r="H16" s="23" t="inlineStr">
        <is>
          <t>Mobile: 09171234567</t>
        </is>
      </c>
      <c r="I16" s="23" t="inlineStr">
        <is>
          <t>Registration is blocked. A message says the mobile number is already in use.</t>
        </is>
      </c>
      <c r="J16" s="4" t="inlineStr">
        <is>
          <t>A4</t>
        </is>
      </c>
      <c r="K16" s="5" t="inlineStr">
        <is>
          <t>Accepted. A second account was created with 09171234567.</t>
        </is>
      </c>
      <c r="L16" s="6" t="inlineStr">
        <is>
          <t>Fail</t>
        </is>
      </c>
      <c r="M16" s="5" t="inlineStr">
        <is>
          <t>Mobile numbers are not checked for duplicates.</t>
        </is>
      </c>
    </row>
    <row r="17" ht="39.6" customHeight="1">
      <c r="A17" s="2" t="inlineStr">
        <is>
          <t>TC-BUY-016</t>
        </is>
      </c>
      <c r="B17" s="23" t="inlineStr">
        <is>
          <t>Mobile Number</t>
        </is>
      </c>
      <c r="C17" s="23" t="inlineStr">
        <is>
          <t>Registered number entered in +63 format</t>
        </is>
      </c>
      <c r="D17" s="23" t="inlineStr">
        <is>
          <t>Error Guessing</t>
        </is>
      </c>
      <c r="E17" s="4" t="inlineStr">
        <is>
          <t>Medium</t>
        </is>
      </c>
      <c r="F17" s="23" t="inlineStr">
        <is>
          <t>The buyer registration page is open. An account already exists with mobile number 09171234567.</t>
        </is>
      </c>
      <c r="G17" s="23" t="inlineStr">
        <is>
          <t>1. Fill in all other fields with valid data.
2. Enter the same number in +63 format.
3. Click Register.</t>
        </is>
      </c>
      <c r="H17" s="23" t="inlineStr">
        <is>
          <t>Mobile: +639171234567</t>
        </is>
      </c>
      <c r="I17" s="23" t="inlineStr">
        <is>
          <t>The +63 format is recognised as the same number. Registration is blocked. A message says the mobile number is already in use.</t>
        </is>
      </c>
      <c r="J17" s="4" t="inlineStr">
        <is>
          <t>A4</t>
        </is>
      </c>
      <c r="K17" s="5" t="inlineStr">
        <is>
          <t>Rejected as an invalid format, not as a duplicate. The "+" cannot be typed, and +639171234567 fails the 09XXXXXXXXX rule.</t>
        </is>
      </c>
      <c r="L17" s="6" t="inlineStr">
        <is>
          <t>Fail</t>
        </is>
      </c>
      <c r="M17" s="5" t="inlineStr">
        <is>
          <t>+63 numbers are not supported or matched to 09 numbers. Duplicates are not checked at all (TC-BUY-015).</t>
        </is>
      </c>
    </row>
    <row r="18" ht="52.8" customHeight="1">
      <c r="A18" s="2" t="inlineStr">
        <is>
          <t>TC-BUY-017</t>
        </is>
      </c>
      <c r="B18" s="23" t="inlineStr">
        <is>
          <t>Password</t>
        </is>
      </c>
      <c r="C18" s="23" t="inlineStr">
        <is>
          <t>Password length at the limit</t>
        </is>
      </c>
      <c r="D18" s="23" t="inlineStr">
        <is>
          <t>Boundary Value Analysis</t>
        </is>
      </c>
      <c r="E18" s="4" t="inlineStr">
        <is>
          <t>High</t>
        </is>
      </c>
      <c r="F18" s="23" t="inlineStr">
        <is>
          <t>The buyer registration page is open. The email, mobile number and other unique values in the test data are not yet registered.</t>
        </is>
      </c>
      <c r="G18" s="23" t="inlineStr">
        <is>
          <t>1. Fill in all other fields with valid data.
2. Enter each password in both password fields, one per attempt.
3. Click Register.</t>
        </is>
      </c>
      <c r="H18" s="23" t="inlineStr">
        <is>
          <t>7 characters: Bili@26 (reject)
8 characters: Bili@202 (accept)</t>
        </is>
      </c>
      <c r="I18" s="23" t="inlineStr">
        <is>
          <t>7 characters is rejected with a minimum-length message. 8 characters is accepted.</t>
        </is>
      </c>
      <c r="J18" s="4" t="inlineStr">
        <is>
          <t>A5</t>
        </is>
      </c>
      <c r="K18" s="5" t="inlineStr">
        <is>
          <t>7 characters rejected: "must have at least 8 characters, one uppercase letter, one lowercase letter, and one symbol." 8 characters accepted.</t>
        </is>
      </c>
      <c r="L18" s="6" t="inlineStr">
        <is>
          <t>Pass</t>
        </is>
      </c>
      <c r="M18" s="5" t="n"/>
    </row>
    <row r="19" ht="52.8" customHeight="1">
      <c r="A19" s="2" t="inlineStr">
        <is>
          <t>TC-BUY-018</t>
        </is>
      </c>
      <c r="B19" s="23" t="inlineStr">
        <is>
          <t>Password</t>
        </is>
      </c>
      <c r="C19" s="23" t="inlineStr">
        <is>
          <t>Password missing a required character type</t>
        </is>
      </c>
      <c r="D19" s="23" t="inlineStr">
        <is>
          <t>Decision Table</t>
        </is>
      </c>
      <c r="E19" s="4" t="inlineStr">
        <is>
          <t>High</t>
        </is>
      </c>
      <c r="F19" s="23" t="inlineStr">
        <is>
          <t>The buyer registration page is open.</t>
        </is>
      </c>
      <c r="G19" s="23" t="inlineStr">
        <is>
          <t>1. Fill in all other fields with valid data.
2. Enter each password in both password fields, one per attempt.
3. Click Register.</t>
        </is>
      </c>
      <c r="H19" s="23" t="inlineStr">
        <is>
          <t>No uppercase: mamimili@2026
No lowercase: MAMIMILI@2026
No number: Mamimili@abcd
No special character: Mamimili2026</t>
        </is>
      </c>
      <c r="I19" s="23" t="inlineStr">
        <is>
          <t>Each password is rejected with a message stating the password rule. No account is created.</t>
        </is>
      </c>
      <c r="J19" s="4" t="inlineStr">
        <is>
          <t>A5</t>
        </is>
      </c>
      <c r="K19" s="5" t="inlineStr">
        <is>
          <t>No uppercase, no lowercase and no special character were rejected. No number ("Mamimili@abcd") was accepted and an account was created.</t>
        </is>
      </c>
      <c r="L19" s="6" t="inlineStr">
        <is>
          <t>Fail</t>
        </is>
      </c>
      <c r="M19" s="5" t="inlineStr">
        <is>
          <t>The password rule does not require a number.</t>
        </is>
      </c>
    </row>
    <row r="20" ht="52.8" customHeight="1">
      <c r="A20" s="2" t="inlineStr">
        <is>
          <t>TC-BUY-019</t>
        </is>
      </c>
      <c r="B20" s="23" t="inlineStr">
        <is>
          <t>Password</t>
        </is>
      </c>
      <c r="C20" s="23" t="inlineStr">
        <is>
          <t>Confirm Password does not match</t>
        </is>
      </c>
      <c r="D20" s="23" t="inlineStr">
        <is>
          <t>Equivalence Partitioning</t>
        </is>
      </c>
      <c r="E20" s="4" t="inlineStr">
        <is>
          <t>High</t>
        </is>
      </c>
      <c r="F20" s="23" t="inlineStr">
        <is>
          <t>The buyer registration page is open.</t>
        </is>
      </c>
      <c r="G20" s="23" t="inlineStr">
        <is>
          <t>1. Fill in all other fields with valid data.
2. Enter the test data in Password and Confirm Password.
3. Click Register.</t>
        </is>
      </c>
      <c r="H20" s="23" t="inlineStr">
        <is>
          <t>Password: Mamimili@2026
Confirm Password: Mamimili@2027</t>
        </is>
      </c>
      <c r="I20" s="23" t="inlineStr">
        <is>
          <t>Registration is blocked. A message says the passwords do not match.</t>
        </is>
      </c>
      <c r="J20" s="4" t="inlineStr">
        <is>
          <t>A5</t>
        </is>
      </c>
      <c r="K20" s="5" t="inlineStr">
        <is>
          <t>Blocked with "The password field confirmation does not match."</t>
        </is>
      </c>
      <c r="L20" s="6" t="inlineStr">
        <is>
          <t>Pass</t>
        </is>
      </c>
      <c r="M20" s="5" t="n"/>
    </row>
    <row r="21" ht="39.6" customHeight="1">
      <c r="A21" s="2" t="inlineStr">
        <is>
          <t>TC-BUY-020</t>
        </is>
      </c>
      <c r="B21" s="23" t="inlineStr">
        <is>
          <t>Password</t>
        </is>
      </c>
      <c r="C21" s="23" t="inlineStr">
        <is>
          <t>Password is hidden while typing</t>
        </is>
      </c>
      <c r="D21" s="23" t="inlineStr">
        <is>
          <t>Error Guessing</t>
        </is>
      </c>
      <c r="E21" s="4" t="inlineStr">
        <is>
          <t>Low</t>
        </is>
      </c>
      <c r="F21" s="23" t="inlineStr">
        <is>
          <t>The buyer registration page is open.</t>
        </is>
      </c>
      <c r="G21" s="23" t="inlineStr">
        <is>
          <t>1. Type the password.
2. If a show/hide icon is provided, click it twice.</t>
        </is>
      </c>
      <c r="H21" s="23" t="inlineStr">
        <is>
          <t>Password: Mamimili@2026</t>
        </is>
      </c>
      <c r="I21" s="23" t="inlineStr">
        <is>
          <t>Characters are hidden as dots by default. The icon reveals the password, then hides it again.</t>
        </is>
      </c>
      <c r="J21" s="4" t="inlineStr">
        <is>
          <t>A5</t>
        </is>
      </c>
      <c r="K21" s="5" t="inlineStr">
        <is>
          <t>Hidden as dots by default. Show password reveals it; clicking again hides it.</t>
        </is>
      </c>
      <c r="L21" s="6" t="inlineStr">
        <is>
          <t>Pass</t>
        </is>
      </c>
      <c r="M21" s="5" t="n"/>
    </row>
    <row r="22" ht="52.8" customHeight="1">
      <c r="A22" s="2" t="inlineStr">
        <is>
          <t>TC-BUY-021</t>
        </is>
      </c>
      <c r="B22" s="23" t="inlineStr">
        <is>
          <t>Terms and Privacy Policy</t>
        </is>
      </c>
      <c r="C22" s="23" t="inlineStr">
        <is>
          <t>Register without accepting the terms</t>
        </is>
      </c>
      <c r="D22" s="23" t="inlineStr">
        <is>
          <t>Equivalence Partitioning</t>
        </is>
      </c>
      <c r="E22" s="4" t="inlineStr">
        <is>
          <t>Medium</t>
        </is>
      </c>
      <c r="F22" s="23" t="inlineStr">
        <is>
          <t>The buyer registration page is open.</t>
        </is>
      </c>
      <c r="G22" s="23" t="inlineStr">
        <is>
          <t>1. Fill in all fields with valid data.
2. Leave the Terms and Privacy Policy checkbox unticked.
3. Click Register.</t>
        </is>
      </c>
      <c r="H22" s="23" t="inlineStr">
        <is>
          <t>Terms and Privacy Policy: unticked</t>
        </is>
      </c>
      <c r="I22" s="23" t="inlineStr">
        <is>
          <t>Registration is blocked. A message says the Terms and Privacy Policy must be accepted.</t>
        </is>
      </c>
      <c r="J22" s="4" t="inlineStr">
        <is>
          <t>A1</t>
        </is>
      </c>
      <c r="K22" s="5" t="inlineStr">
        <is>
          <t>There is no Terms and Privacy Policy checkbox. Registration completes without accepting terms.</t>
        </is>
      </c>
      <c r="L22" s="6" t="inlineStr">
        <is>
          <t>Fail</t>
        </is>
      </c>
      <c r="M22" s="5" t="inlineStr">
        <is>
          <t>Terms checkbox not implemented.</t>
        </is>
      </c>
    </row>
    <row r="23" ht="52.8" customHeight="1">
      <c r="A23" s="2" t="inlineStr">
        <is>
          <t>TC-BUY-022</t>
        </is>
      </c>
      <c r="B23" s="23" t="inlineStr">
        <is>
          <t>Registration Form</t>
        </is>
      </c>
      <c r="C23" s="23" t="inlineStr">
        <is>
          <t>Click Register several times quickly</t>
        </is>
      </c>
      <c r="D23" s="23" t="inlineStr">
        <is>
          <t>Error Guessing</t>
        </is>
      </c>
      <c r="E23" s="4" t="inlineStr">
        <is>
          <t>Medium</t>
        </is>
      </c>
      <c r="F23" s="23" t="inlineStr">
        <is>
          <t>The buyer registration page is open. The email, mobile number and other unique values in the test data are not yet registered.</t>
        </is>
      </c>
      <c r="G23" s="23" t="inlineStr">
        <is>
          <t>1. Fill in all fields with the Account 2 data from the Test Data sheet.
2. Click Register three times in quick succession.</t>
        </is>
      </c>
      <c r="H23" s="23" t="inlineStr">
        <is>
          <t>Account 2 data (Test Data sheet, column G)</t>
        </is>
      </c>
      <c r="I23" s="23" t="inlineStr">
        <is>
          <t>Only one account is created and only one OTP email is sent. No duplicate-email error page appears.</t>
        </is>
      </c>
      <c r="J23" s="4" t="inlineStr">
        <is>
          <t>A3</t>
        </is>
      </c>
      <c r="K23" s="5" t="inlineStr">
        <is>
          <t>The Register button is disabled after the first click. Even three simultaneous submissions created one account and sent one code; the extra requests returned to the form with "The email has already been taken."</t>
        </is>
      </c>
      <c r="L23" s="6" t="inlineStr">
        <is>
          <t>Pass</t>
        </is>
      </c>
      <c r="M23" s="5" t="n"/>
    </row>
    <row r="24" ht="79.2" customHeight="1">
      <c r="A24" s="2" t="inlineStr">
        <is>
          <t>TC-BUY-023</t>
        </is>
      </c>
      <c r="B24" s="23" t="inlineStr">
        <is>
          <t>Email Verification (OTP)</t>
        </is>
      </c>
      <c r="C24" s="23" t="inlineStr">
        <is>
          <t>Verify with the correct OTP</t>
        </is>
      </c>
      <c r="D24" s="23" t="inlineStr">
        <is>
          <t>State Transition</t>
        </is>
      </c>
      <c r="E24" s="4" t="inlineStr">
        <is>
          <t>High</t>
        </is>
      </c>
      <c r="F24" s="23" t="inlineStr">
        <is>
          <t>The buyer account juanmiguel.delacruz@example.com was just registered and is Unverified. The verification page is open and the OTP email has been read from the mail catcher.</t>
        </is>
      </c>
      <c r="G24" s="23" t="inlineStr">
        <is>
          <t>1. Enter the OTP from the email within 5 minutes.
2. Click Verify.</t>
        </is>
      </c>
      <c r="H24" s="23" t="inlineStr">
        <is>
          <t>OTP: the code in the email (for example 482913)</t>
        </is>
      </c>
      <c r="I24" s="23" t="inlineStr">
        <is>
          <t>Verification succeeds. The account status changes from Unverified to Active. A success message is shown and the login page (or home page) opens.</t>
        </is>
      </c>
      <c r="J24" s="4" t="inlineStr">
        <is>
          <t>A9, A12</t>
        </is>
      </c>
      <c r="K24" s="5" t="inlineStr">
        <is>
          <t>Correct code accepted. The email became verified and the buyer home page opened. The account is active.</t>
        </is>
      </c>
      <c r="L24" s="6" t="inlineStr">
        <is>
          <t>Pass</t>
        </is>
      </c>
      <c r="M24" s="5" t="n"/>
    </row>
    <row r="25" ht="79.2" customHeight="1">
      <c r="A25" s="2" t="inlineStr">
        <is>
          <t>TC-BUY-024</t>
        </is>
      </c>
      <c r="B25" s="23" t="inlineStr">
        <is>
          <t>Email Verification (OTP)</t>
        </is>
      </c>
      <c r="C25" s="23" t="inlineStr">
        <is>
          <t>Verify with an incorrect OTP</t>
        </is>
      </c>
      <c r="D25" s="23" t="inlineStr">
        <is>
          <t>Equivalence Partitioning</t>
        </is>
      </c>
      <c r="E25" s="4" t="inlineStr">
        <is>
          <t>High</t>
        </is>
      </c>
      <c r="F25" s="23" t="inlineStr">
        <is>
          <t>The buyer account juanmiguel.delacruz@example.com was just registered and is Unverified. The verification page is open and the OTP email has been read from the mail catcher.</t>
        </is>
      </c>
      <c r="G25" s="23" t="inlineStr">
        <is>
          <t>1. Enter a code different from the one in the email.
2. Click Verify.</t>
        </is>
      </c>
      <c r="H25" s="23" t="inlineStr">
        <is>
          <t>OTP: 000000 (use 111111 if the real code is 000000)</t>
        </is>
      </c>
      <c r="I25" s="23" t="inlineStr">
        <is>
          <t>Verification fails with an invalid-code message. The account stays Unverified.</t>
        </is>
      </c>
      <c r="J25" s="4" t="inlineStr">
        <is>
          <t>A9</t>
        </is>
      </c>
      <c r="K25" s="5" t="inlineStr">
        <is>
          <t>Rejected with "That code is incorrect. Please check your email and try again." The account stays unverified.</t>
        </is>
      </c>
      <c r="L25" s="6" t="inlineStr">
        <is>
          <t>Pass</t>
        </is>
      </c>
      <c r="M25" s="5" t="n"/>
    </row>
    <row r="26" ht="79.2" customHeight="1">
      <c r="A26" s="2" t="inlineStr">
        <is>
          <t>TC-BUY-025</t>
        </is>
      </c>
      <c r="B26" s="23" t="inlineStr">
        <is>
          <t>Email Verification (OTP)</t>
        </is>
      </c>
      <c r="C26" s="23" t="inlineStr">
        <is>
          <t>OTP in the wrong format</t>
        </is>
      </c>
      <c r="D26" s="23" t="inlineStr">
        <is>
          <t>Equivalence Partitioning</t>
        </is>
      </c>
      <c r="E26" s="4" t="inlineStr">
        <is>
          <t>Medium</t>
        </is>
      </c>
      <c r="F26" s="23" t="inlineStr">
        <is>
          <t>The buyer account juanmiguel.delacruz@example.com was just registered and is Unverified. The verification page is open and the OTP email has been read from the mail catcher.</t>
        </is>
      </c>
      <c r="G26" s="23" t="inlineStr">
        <is>
          <t>1. Enter each value in the test data, one per attempt.
2. Click Verify.</t>
        </is>
      </c>
      <c r="H26" s="23" t="inlineStr">
        <is>
          <t>5 digits: 48291
7 digits: 4829137
Letters: 48A91B
Blank</t>
        </is>
      </c>
      <c r="I26" s="23" t="inlineStr">
        <is>
          <t>Each value is rejected. The account stays Unverified.</t>
        </is>
      </c>
      <c r="J26" s="4" t="inlineStr">
        <is>
          <t>A9</t>
        </is>
      </c>
      <c r="K26" s="5" t="inlineStr">
        <is>
          <t>All rejected: "Enter the six-digit code from your email." (blank: "Enter the verification code from your email."). The account stays unverified.</t>
        </is>
      </c>
      <c r="L26" s="6" t="inlineStr">
        <is>
          <t>Pass</t>
        </is>
      </c>
      <c r="M26" s="5" t="n"/>
    </row>
    <row r="27" ht="79.2" customHeight="1">
      <c r="A27" s="2" t="inlineStr">
        <is>
          <t>TC-BUY-026</t>
        </is>
      </c>
      <c r="B27" s="23" t="inlineStr">
        <is>
          <t>Email Verification (OTP)</t>
        </is>
      </c>
      <c r="C27" s="23" t="inlineStr">
        <is>
          <t>Verify with an expired OTP</t>
        </is>
      </c>
      <c r="D27" s="23" t="inlineStr">
        <is>
          <t>Boundary Value Analysis</t>
        </is>
      </c>
      <c r="E27" s="4" t="inlineStr">
        <is>
          <t>High</t>
        </is>
      </c>
      <c r="F27" s="23" t="inlineStr">
        <is>
          <t>The buyer account juanmiguel.delacruz@example.com was just registered and is Unverified. The verification page is open and the OTP email has been read from the mail catcher.</t>
        </is>
      </c>
      <c r="G27" s="23" t="inlineStr">
        <is>
          <t>1. Wait until 5 minutes and 1 second have passed since the OTP was sent.
2. Enter the OTP from the email.
3. Click Verify.</t>
        </is>
      </c>
      <c r="H27" s="23" t="inlineStr">
        <is>
          <t>OTP: the correct code, entered at 5:01 or later</t>
        </is>
      </c>
      <c r="I27" s="23" t="inlineStr">
        <is>
          <t>Verification fails with a message that the code has expired, and a Resend option is offered. The account stays Unverified.</t>
        </is>
      </c>
      <c r="J27" s="4" t="inlineStr">
        <is>
          <t>A9</t>
        </is>
      </c>
      <c r="K27" s="5" t="inlineStr">
        <is>
          <t>At 5:01 the code is still valid; it expires after 10 minutes. After expiry: "Your code has expired or is unavailable. Please request a new code." with the Resend button available. The account stays unverified.</t>
        </is>
      </c>
      <c r="L27" s="6" t="inlineStr">
        <is>
          <t>Fail</t>
        </is>
      </c>
      <c r="M27" s="5" t="inlineStr">
        <is>
          <t>Codes last 10 minutes, not 5 (Assumptions A9). Expiry was tested by moving the code time in a test copy of the database.</t>
        </is>
      </c>
    </row>
    <row r="28" ht="79.2" customHeight="1">
      <c r="A28" s="2" t="inlineStr">
        <is>
          <t>TC-BUY-027</t>
        </is>
      </c>
      <c r="B28" s="23" t="inlineStr">
        <is>
          <t>Email Verification (OTP)</t>
        </is>
      </c>
      <c r="C28" s="23" t="inlineStr">
        <is>
          <t>Resend OTP</t>
        </is>
      </c>
      <c r="D28" s="23" t="inlineStr">
        <is>
          <t>State Transition</t>
        </is>
      </c>
      <c r="E28" s="4" t="inlineStr">
        <is>
          <t>Medium</t>
        </is>
      </c>
      <c r="F28" s="23" t="inlineStr">
        <is>
          <t>The buyer account juanmiguel.delacruz@example.com was just registered and is Unverified. The verification page is open and the OTP email has been read from the mail catcher.</t>
        </is>
      </c>
      <c r="G28" s="23" t="inlineStr">
        <is>
          <t>1. Click Resend OTP.
2. Enter the first code and click Verify.
3. Enter the second code and click Verify.</t>
        </is>
      </c>
      <c r="H28" s="23" t="inlineStr">
        <is>
          <t>First code (for example 482913), then the second code (for example 907356)</t>
        </is>
      </c>
      <c r="I28" s="23" t="inlineStr">
        <is>
          <t>A new OTP email arrives. The first code is rejected. The second code is accepted and the account is verified.</t>
        </is>
      </c>
      <c r="J28" s="4" t="inlineStr">
        <is>
          <t>A9</t>
        </is>
      </c>
      <c r="K28" s="5" t="inlineStr">
        <is>
          <t>Resend is refused within the first minute ("Please wait one minute..."). After a minute: "A new verification code has been sent. Only the latest code will work." The first code was rejected; the second was accepted and the account verified.</t>
        </is>
      </c>
      <c r="L28" s="6" t="inlineStr">
        <is>
          <t>Pass</t>
        </is>
      </c>
      <c r="M28" s="5" t="n"/>
    </row>
    <row r="29" ht="39.6" customHeight="1">
      <c r="A29" s="2" t="inlineStr">
        <is>
          <t>TC-BUY-028</t>
        </is>
      </c>
      <c r="B29" s="23" t="inlineStr">
        <is>
          <t>Email Verification (OTP)</t>
        </is>
      </c>
      <c r="C29" s="23" t="inlineStr">
        <is>
          <t>Log in before verifying the email</t>
        </is>
      </c>
      <c r="D29" s="23" t="inlineStr">
        <is>
          <t>State Transition</t>
        </is>
      </c>
      <c r="E29" s="4" t="inlineStr">
        <is>
          <t>High</t>
        </is>
      </c>
      <c r="F29" s="23" t="inlineStr">
        <is>
          <t>The buyer account juanmiguel.delacruz@example.com exists with status Unverified.</t>
        </is>
      </c>
      <c r="G29" s="23" t="inlineStr">
        <is>
          <t>1. Open the login page.
2. Log in with the unverified account.</t>
        </is>
      </c>
      <c r="H29" s="23" t="inlineStr">
        <is>
          <t>Email: juanmiguel.delacruz@example.com
Password: Mamimili@2026</t>
        </is>
      </c>
      <c r="I29" s="23" t="inlineStr">
        <is>
          <t>The user is not given access. The verification page or a message asking to verify the email is shown.</t>
        </is>
      </c>
      <c r="J29" s="4" t="inlineStr">
        <is>
          <t>A9, A12</t>
        </is>
      </c>
      <c r="K29" s="5" t="inlineStr">
        <is>
          <t>Not given access. Login redirects to the email verification page, and the buyer pages redirect there too.</t>
        </is>
      </c>
      <c r="L29" s="6" t="inlineStr">
        <is>
          <t>Pass</t>
        </is>
      </c>
      <c r="M29" s="5" t="n"/>
    </row>
    <row r="30" ht="39.6" customHeight="1">
      <c r="A30" s="2" t="inlineStr">
        <is>
          <t>TC-BUY-029</t>
        </is>
      </c>
      <c r="B30" s="23" t="inlineStr">
        <is>
          <t>Access Control</t>
        </is>
      </c>
      <c r="C30" s="23" t="inlineStr">
        <is>
          <t>Log in with the new verified account</t>
        </is>
      </c>
      <c r="D30" s="23" t="inlineStr">
        <is>
          <t>Use Case Testing</t>
        </is>
      </c>
      <c r="E30" s="4" t="inlineStr">
        <is>
          <t>High</t>
        </is>
      </c>
      <c r="F30" s="23" t="inlineStr">
        <is>
          <t>The buyer account juanmiguel.delacruz@example.com is verified and Active.</t>
        </is>
      </c>
      <c r="G30" s="23" t="inlineStr">
        <is>
          <t>1. Open the login page.
2. Enter the email and password.
3. Click Log In.</t>
        </is>
      </c>
      <c r="H30" s="23" t="inlineStr">
        <is>
          <t>Email: juanmiguel.delacruz@example.com
Password: Mamimili@2026</t>
        </is>
      </c>
      <c r="I30" s="23" t="inlineStr">
        <is>
          <t>Login succeeds. The buyer home page opens and the name Juan Miguel is shown.</t>
        </is>
      </c>
      <c r="J30" s="4" t="inlineStr">
        <is>
          <t>A12</t>
        </is>
      </c>
      <c r="K30" s="5" t="inlineStr">
        <is>
          <t>Login succeeded. The buyer home page opened showing Juan Miguel.</t>
        </is>
      </c>
      <c r="L30" s="6" t="inlineStr">
        <is>
          <t>Pass</t>
        </is>
      </c>
      <c r="M30" s="5" t="n"/>
    </row>
    <row r="31" ht="52.8" customHeight="1">
      <c r="A31" s="2" t="inlineStr">
        <is>
          <t>TC-BUY-030</t>
        </is>
      </c>
      <c r="B31" s="23" t="inlineStr">
        <is>
          <t>Access Control</t>
        </is>
      </c>
      <c r="C31" s="23" t="inlineStr">
        <is>
          <t>Open another role's pages</t>
        </is>
      </c>
      <c r="D31" s="23" t="inlineStr">
        <is>
          <t>Error Guessing</t>
        </is>
      </c>
      <c r="E31" s="4" t="inlineStr">
        <is>
          <t>High</t>
        </is>
      </c>
      <c r="F31" s="23" t="inlineStr">
        <is>
          <t>The buyer account juanmiguel.delacruz@example.com is logged in.</t>
        </is>
      </c>
      <c r="G31" s="23" t="inlineStr">
        <is>
          <t>1. Paste the address of each dashboard in the test data into the browser, one at a time.</t>
        </is>
      </c>
      <c r="H31" s="23" t="inlineStr">
        <is>
          <t>Seller dashboard
Logistics dashboard
Rider dashboard
Admin dashboard</t>
        </is>
      </c>
      <c r="I31" s="23" t="inlineStr">
        <is>
          <t>Access is denied each time (error 403 or redirect). No data from the other role is shown.</t>
        </is>
      </c>
      <c r="J31" s="4" t="inlineStr">
        <is>
          <t>A16</t>
        </is>
      </c>
      <c r="K31" s="5" t="inlineStr">
        <is>
          <t>Error 403 for the seller, logistics, rider and admin dashboards. No data shown.</t>
        </is>
      </c>
      <c r="L31" s="6" t="inlineStr">
        <is>
          <t>Pass</t>
        </is>
      </c>
      <c r="M31" s="5" t="n"/>
    </row>
  </sheetData>
  <autoFilter ref="A1:M31"/>
  <conditionalFormatting sqref="L2:L31">
    <cfRule type="cellIs" priority="2" operator="equal" dxfId="2">
      <formula>"Pass"</formula>
    </cfRule>
    <cfRule type="cellIs" priority="3" operator="equal" dxfId="1">
      <formula>"Fail"</formula>
    </cfRule>
    <cfRule type="cellIs" priority="4" operator="equal" dxfId="0">
      <formula>"Blocked"</formula>
    </cfRule>
  </conditionalFormatting>
  <dataValidations count="1">
    <dataValidation sqref="L2:L31" showDropDown="0" showInputMessage="0" showErrorMessage="0" allowBlank="0" errorTitle="Invalid status" error="Choose Pass, Fail, Blocked or Not Run." type="list">
      <formula1>"Pass,Fail,Blocked,Not Run"</formula1>
    </dataValidation>
  </dataValidations>
  <pageMargins left="0.75" right="0.75" top="1" bottom="1" header="0.511811023622047" footer="0.511811023622047"/>
  <pageSetup orientation="landscape" paperSize="9" fitToHeight="0" horizontalDpi="300" verticalDpi="300"/>
</worksheet>
</file>

<file path=xl/worksheets/sheet6.xml><?xml version="1.0" encoding="utf-8"?>
<worksheet xmlns="http://schemas.openxmlformats.org/spreadsheetml/2006/main">
  <sheetPr>
    <outlinePr summaryBelow="1" summaryRight="1"/>
    <pageSetUpPr fitToPage="1"/>
  </sheetPr>
  <dimension ref="A1:M4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ColWidth="8.6640625" defaultRowHeight="14.4"/>
  <cols>
    <col width="12"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1" t="inlineStr">
        <is>
          <t>Test Case ID</t>
        </is>
      </c>
      <c r="B1" s="1" t="inlineStr">
        <is>
          <t>Module</t>
        </is>
      </c>
      <c r="C1" s="1" t="inlineStr">
        <is>
          <t>Test Scenario</t>
        </is>
      </c>
      <c r="D1" s="1" t="inlineStr">
        <is>
          <t>Technique</t>
        </is>
      </c>
      <c r="E1" s="1" t="inlineStr">
        <is>
          <t>Priority</t>
        </is>
      </c>
      <c r="F1" s="1" t="inlineStr">
        <is>
          <t>Preconditions</t>
        </is>
      </c>
      <c r="G1" s="1" t="inlineStr">
        <is>
          <t>Test Steps</t>
        </is>
      </c>
      <c r="H1" s="1" t="inlineStr">
        <is>
          <t>Test Data</t>
        </is>
      </c>
      <c r="I1" s="1" t="inlineStr">
        <is>
          <t>Expected Result</t>
        </is>
      </c>
      <c r="J1" s="1" t="inlineStr">
        <is>
          <t>Assumption Ref</t>
        </is>
      </c>
      <c r="K1" s="1" t="inlineStr">
        <is>
          <t>Actual Result</t>
        </is>
      </c>
      <c r="L1" s="1" t="inlineStr">
        <is>
          <t>Status</t>
        </is>
      </c>
      <c r="M1" s="1" t="inlineStr">
        <is>
          <t>Remarks</t>
        </is>
      </c>
    </row>
    <row r="2" ht="316.8" customHeight="1">
      <c r="A2" s="2" t="inlineStr">
        <is>
          <t>TC-SEL-001</t>
        </is>
      </c>
      <c r="B2" s="23" t="inlineStr">
        <is>
          <t>Registration Form</t>
        </is>
      </c>
      <c r="C2" s="23" t="inlineStr">
        <is>
          <t>Register with all valid data</t>
        </is>
      </c>
      <c r="D2" s="23" t="inlineStr">
        <is>
          <t>Use Case Testing</t>
        </is>
      </c>
      <c r="E2" s="4" t="inlineStr">
        <is>
          <t>High</t>
        </is>
      </c>
      <c r="F2" s="23" t="inlineStr">
        <is>
          <t>The seller registration page is open. The email, mobile number and other unique values in the test data are not yet registered.</t>
        </is>
      </c>
      <c r="G2" s="23" t="inlineStr">
        <is>
          <t>1. Fill in every field with the test data.
2. Click Register.</t>
        </is>
      </c>
      <c r="H2" s="23" t="inlineStr">
        <is>
          <t>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is>
      </c>
      <c r="I2" s="23" t="inlineStr">
        <is>
          <t>The form is accepted with no validation errors. A success message is shown, a 6-digit OTP is sent to the email, and the email verification page opens. The account is saved with status Unverified.</t>
        </is>
      </c>
      <c r="J2" s="4" t="inlineStr">
        <is>
          <t>A1, A9, A12</t>
        </is>
      </c>
      <c r="K2" s="5" t="inlineStr">
        <is>
          <t>Account created from the fields the form has (name, mobile, email, password). The verification page opened, a 6-digit code was emailed, and the status is Pending. The shop was named automatically "Maria Clara Santos's Store".</t>
        </is>
      </c>
      <c r="L2" s="6" t="inlineStr">
        <is>
          <t>Fail</t>
        </is>
      </c>
      <c r="M2" s="5" t="inlineStr">
        <is>
          <t>Shop Name, Shop Category, Seller Type, TIN, address fields, document uploads and Terms are not on the seller registration form.</t>
        </is>
      </c>
    </row>
    <row r="3" ht="39.6" customHeight="1">
      <c r="A3" s="2" t="inlineStr">
        <is>
          <t>TC-SEL-002</t>
        </is>
      </c>
      <c r="B3" s="23" t="inlineStr">
        <is>
          <t>Required Fields</t>
        </is>
      </c>
      <c r="C3" s="23" t="inlineStr">
        <is>
          <t>Submit a completely empty form</t>
        </is>
      </c>
      <c r="D3" s="23" t="inlineStr">
        <is>
          <t>Equivalence Partitioning</t>
        </is>
      </c>
      <c r="E3" s="4" t="inlineStr">
        <is>
          <t>High</t>
        </is>
      </c>
      <c r="F3" s="23" t="inlineStr">
        <is>
          <t>The seller registration page is open.</t>
        </is>
      </c>
      <c r="G3" s="23" t="inlineStr">
        <is>
          <t>1. Leave every field blank and every dropdown on its default option.
2. Click Register.</t>
        </is>
      </c>
      <c r="H3" s="23" t="inlineStr">
        <is>
          <t>All fields blank</t>
        </is>
      </c>
      <c r="I3" s="23" t="inlineStr">
        <is>
          <t>Registration is blocked. A required-field message is shown for every mandatory field. No account is created and no OTP is sent.</t>
        </is>
      </c>
      <c r="J3" s="4" t="inlineStr">
        <is>
          <t>A1</t>
        </is>
      </c>
      <c r="K3" s="5" t="inlineStr">
        <is>
          <t>Blocked. Required messages for First Name, Last Name, Mobile Number, Email and Password. No account created, no email sent.</t>
        </is>
      </c>
      <c r="L3" s="6" t="inlineStr">
        <is>
          <t>Pass</t>
        </is>
      </c>
      <c r="M3" s="5" t="inlineStr">
        <is>
          <t>Covers the fields on the form. Shop Name, Shop Category, Seller Type, TIN, address fields, document uploads and Terms are not on the seller registration form.</t>
        </is>
      </c>
    </row>
    <row r="4" ht="264" customHeight="1">
      <c r="A4" s="2" t="inlineStr">
        <is>
          <t>TC-SEL-003</t>
        </is>
      </c>
      <c r="B4" s="23" t="inlineStr">
        <is>
          <t>Required Fields</t>
        </is>
      </c>
      <c r="C4" s="23" t="inlineStr">
        <is>
          <t>Leave one required field blank at a time</t>
        </is>
      </c>
      <c r="D4" s="23" t="inlineStr">
        <is>
          <t>Equivalence Partitioning</t>
        </is>
      </c>
      <c r="E4" s="4" t="inlineStr">
        <is>
          <t>High</t>
        </is>
      </c>
      <c r="F4" s="23" t="inlineStr">
        <is>
          <t>The seller registration page is open.</t>
        </is>
      </c>
      <c r="G4" s="23" t="inlineStr">
        <is>
          <t>1. Fill in all fields with valid data.
2. Clear one required field.
3. Click Register.
4. Repeat for each field in the test data.</t>
        </is>
      </c>
      <c r="H4" s="23" t="inlineStr">
        <is>
          <t>Clear in turn:
First Name
Last Name
Email
Mobile Number
Shop Name
Shop Category
Seller Type
TIN
Region
Province
City / Municipality
Barangay
Street Address
Postal Code
Government-issued ID (upload)
DTI Certificate (upload)
BIR Form 2303 (upload)
Password
Confirm Password</t>
        </is>
      </c>
      <c r="I4" s="23" t="inlineStr">
        <is>
          <t>Each time, registration is blocked and a required-field message is shown on the blank field only. Other entered values (except passwords and uploads) are kept. No account is created.</t>
        </is>
      </c>
      <c r="J4" s="4" t="inlineStr">
        <is>
          <t>A1</t>
        </is>
      </c>
      <c r="K4" s="5" t="inlineStr">
        <is>
          <t>Each of the six fields on the form was blocked with a message for that field only; other values stayed filled in. A blank Confirm Password shows the mismatch message.</t>
        </is>
      </c>
      <c r="L4" s="6" t="inlineStr">
        <is>
          <t>Pass</t>
        </is>
      </c>
      <c r="M4" s="5" t="inlineStr">
        <is>
          <t>The other 13 fields in the test data are not on the form (TC-SEL-001).</t>
        </is>
      </c>
    </row>
    <row r="5" ht="39.6" customHeight="1">
      <c r="A5" s="2" t="inlineStr">
        <is>
          <t>TC-SEL-004</t>
        </is>
      </c>
      <c r="B5" s="23" t="inlineStr">
        <is>
          <t>Name</t>
        </is>
      </c>
      <c r="C5" s="23" t="inlineStr">
        <is>
          <t>Name with numbers or symbols</t>
        </is>
      </c>
      <c r="D5" s="23" t="inlineStr">
        <is>
          <t>Equivalence Partitioning</t>
        </is>
      </c>
      <c r="E5" s="4" t="inlineStr">
        <is>
          <t>Medium</t>
        </is>
      </c>
      <c r="F5" s="23" t="inlineStr">
        <is>
          <t>The seller registration page is open.</t>
        </is>
      </c>
      <c r="G5" s="23" t="inlineStr">
        <is>
          <t>1. Fill in all other fields with valid data.
2. Enter the test data in the name fields.
3. Click Register.</t>
        </is>
      </c>
      <c r="H5" s="23" t="inlineStr">
        <is>
          <t>First Name: Maria Clara99
Last Name: Dela Cruz@#</t>
        </is>
      </c>
      <c r="I5" s="23" t="inlineStr">
        <is>
          <t>Registration is blocked. A message on each name field says only letters are allowed.</t>
        </is>
      </c>
      <c r="J5" s="4" t="inlineStr">
        <is>
          <t>A2</t>
        </is>
      </c>
      <c r="K5" s="5" t="inlineStr">
        <is>
          <t>The browser removes digits and symbols while typing; the server rejects both fields with the letters-only message. No account created.</t>
        </is>
      </c>
      <c r="L5" s="6" t="inlineStr">
        <is>
          <t>Pass</t>
        </is>
      </c>
      <c r="M5" s="5" t="n"/>
    </row>
    <row r="6" ht="52.8" customHeight="1">
      <c r="A6" s="2" t="inlineStr">
        <is>
          <t>TC-SEL-005</t>
        </is>
      </c>
      <c r="B6" s="23" t="inlineStr">
        <is>
          <t>Name</t>
        </is>
      </c>
      <c r="C6" s="23" t="inlineStr">
        <is>
          <t>Name with ñ and allowed punctuation</t>
        </is>
      </c>
      <c r="D6" s="23" t="inlineStr">
        <is>
          <t>Equivalence Partitioning</t>
        </is>
      </c>
      <c r="E6" s="4" t="inlineStr">
        <is>
          <t>Low</t>
        </is>
      </c>
      <c r="F6" s="23" t="inlineStr">
        <is>
          <t>The seller registration page is open. The email, mobile number and other unique values in the test data are not yet registered.</t>
        </is>
      </c>
      <c r="G6" s="23" t="inlineStr">
        <is>
          <t>1. Fill in all other fields with valid data.
2. Enter the test data in the name fields.
3. Click Register.</t>
        </is>
      </c>
      <c r="H6" s="23" t="inlineStr">
        <is>
          <t>First Name: Niña Corazon
Last Name: Peñaranda-D'Souza</t>
        </is>
      </c>
      <c r="I6" s="23" t="inlineStr">
        <is>
          <t>The names are accepted and saved exactly as typed, including ñ.</t>
        </is>
      </c>
      <c r="J6" s="4" t="inlineStr">
        <is>
          <t>A2</t>
        </is>
      </c>
      <c r="K6" s="5" t="inlineStr">
        <is>
          <t>Accepted. Saved exactly as "Niña Corazon Peñaranda-D'Souza".</t>
        </is>
      </c>
      <c r="L6" s="6" t="inlineStr">
        <is>
          <t>Pass</t>
        </is>
      </c>
      <c r="M6" s="5" t="n"/>
    </row>
    <row r="7" ht="79.2" customHeight="1">
      <c r="A7" s="2" t="inlineStr">
        <is>
          <t>TC-SEL-006</t>
        </is>
      </c>
      <c r="B7" s="23" t="inlineStr">
        <is>
          <t>Name</t>
        </is>
      </c>
      <c r="C7" s="23" t="inlineStr">
        <is>
          <t>Name length at the limits</t>
        </is>
      </c>
      <c r="D7" s="23" t="inlineStr">
        <is>
          <t>Boundary Value Analysis</t>
        </is>
      </c>
      <c r="E7" s="4" t="inlineStr">
        <is>
          <t>Medium</t>
        </is>
      </c>
      <c r="F7" s="23" t="inlineStr">
        <is>
          <t>The seller registration page is open. The email, mobile number and other unique values in the test data are not yet registered.</t>
        </is>
      </c>
      <c r="G7" s="23" t="inlineStr">
        <is>
          <t>1. Fill in all other fields with valid data.
2. Enter each first name in the test data, one per attempt.
3. Click Register.</t>
        </is>
      </c>
      <c r="H7" s="23" t="inlineStr">
        <is>
          <t>1 character: M (reject)
2 characters: Mo (accept)
50 characters: Maria Cristina Angelica Bernadette Josefina Leonor (accept)
51 characters: Maria Cristina Angelica Bernadette Josefina Leonora (reject)</t>
        </is>
      </c>
      <c r="I7" s="23" t="inlineStr">
        <is>
          <t>1 and 51 characters are rejected with a length message. 2 and 50 characters are accepted.</t>
        </is>
      </c>
      <c r="J7" s="4" t="inlineStr">
        <is>
          <t>A2</t>
        </is>
      </c>
      <c r="K7" s="5" t="inlineStr">
        <is>
          <t>All four names were accepted, including 1 and 51 characters.</t>
        </is>
      </c>
      <c r="L7" s="6" t="inlineStr">
        <is>
          <t>Fail</t>
        </is>
      </c>
      <c r="M7" s="5" t="inlineStr">
        <is>
          <t>Names allow 1 to 100 characters.</t>
        </is>
      </c>
    </row>
    <row r="8" ht="79.2" customHeight="1">
      <c r="A8" s="2" t="inlineStr">
        <is>
          <t>TC-SEL-007</t>
        </is>
      </c>
      <c r="B8" s="23" t="inlineStr">
        <is>
          <t>Email</t>
        </is>
      </c>
      <c r="C8" s="23" t="inlineStr">
        <is>
          <t>Email in an invalid format</t>
        </is>
      </c>
      <c r="D8" s="23" t="inlineStr">
        <is>
          <t>Equivalence Partitioning</t>
        </is>
      </c>
      <c r="E8" s="4" t="inlineStr">
        <is>
          <t>High</t>
        </is>
      </c>
      <c r="F8" s="23" t="inlineStr">
        <is>
          <t>The seller registration page is open.</t>
        </is>
      </c>
      <c r="G8" s="23" t="inlineStr">
        <is>
          <t>1. Fill in all other fields with valid data.
2. Enter each email in the test data, one per attempt.
3. Click Register.</t>
        </is>
      </c>
      <c r="H8" s="23" t="inlineStr">
        <is>
          <t>mariaclara.santosexample.com (no @)
mariaclara.santos@ (no domain)
@example.com (no name)
mariaclara.santos@example (no .com)
mariaclara santos@example.com (space)</t>
        </is>
      </c>
      <c r="I8" s="23" t="inlineStr">
        <is>
          <t>Each value is rejected with a message asking for a valid email address. No account is created.</t>
        </is>
      </c>
      <c r="J8" s="4" t="inlineStr">
        <is>
          <t>A3</t>
        </is>
      </c>
      <c r="K8" s="5" t="inlineStr">
        <is>
          <t>Four of five rejected. "mariaclara.santos@example" (no .com) was accepted and an account was created.</t>
        </is>
      </c>
      <c r="L8" s="6" t="inlineStr">
        <is>
          <t>Fail</t>
        </is>
      </c>
      <c r="M8" s="5" t="inlineStr">
        <is>
          <t>Emails without a domain extension are accepted.</t>
        </is>
      </c>
    </row>
    <row r="9" ht="52.8" customHeight="1">
      <c r="A9" s="2" t="inlineStr">
        <is>
          <t>TC-SEL-008</t>
        </is>
      </c>
      <c r="B9" s="23" t="inlineStr">
        <is>
          <t>Email</t>
        </is>
      </c>
      <c r="C9" s="23" t="inlineStr">
        <is>
          <t>Email that is already registered</t>
        </is>
      </c>
      <c r="D9" s="23" t="inlineStr">
        <is>
          <t>Equivalence Partitioning</t>
        </is>
      </c>
      <c r="E9" s="4" t="inlineStr">
        <is>
          <t>High</t>
        </is>
      </c>
      <c r="F9" s="23" t="inlineStr">
        <is>
          <t>The seller registration page is open. The seller account mariaclara.santos@example.com already exists.</t>
        </is>
      </c>
      <c r="G9" s="23" t="inlineStr">
        <is>
          <t>1. Fill in all other fields with valid data.
2. Enter the existing email.
3. Click Register.</t>
        </is>
      </c>
      <c r="H9" s="23" t="inlineStr">
        <is>
          <t>Email: mariaclara.santos@example.com</t>
        </is>
      </c>
      <c r="I9" s="23" t="inlineStr">
        <is>
          <t>Registration is blocked. A message says the email is already in use. No account is created.</t>
        </is>
      </c>
      <c r="J9" s="4" t="inlineStr">
        <is>
          <t>A3</t>
        </is>
      </c>
      <c r="K9" s="5" t="inlineStr">
        <is>
          <t>Blocked with "The email has already been taken."</t>
        </is>
      </c>
      <c r="L9" s="6" t="inlineStr">
        <is>
          <t>Pass</t>
        </is>
      </c>
      <c r="M9" s="5" t="n"/>
    </row>
    <row r="10" ht="52.8" customHeight="1">
      <c r="A10" s="2" t="inlineStr">
        <is>
          <t>TC-SEL-009</t>
        </is>
      </c>
      <c r="B10" s="23" t="inlineStr">
        <is>
          <t>Email</t>
        </is>
      </c>
      <c r="C10" s="23" t="inlineStr">
        <is>
          <t>Registered email typed in capital letters</t>
        </is>
      </c>
      <c r="D10" s="23" t="inlineStr">
        <is>
          <t>Error Guessing</t>
        </is>
      </c>
      <c r="E10" s="4" t="inlineStr">
        <is>
          <t>Medium</t>
        </is>
      </c>
      <c r="F10" s="23" t="inlineStr">
        <is>
          <t>The seller registration page is open. The seller account mariaclara.santos@example.com already exists.</t>
        </is>
      </c>
      <c r="G10" s="23" t="inlineStr">
        <is>
          <t>1. Fill in all other fields with valid data.
2. Enter the same email in capital letters.
3. Click Register.</t>
        </is>
      </c>
      <c r="H10" s="23" t="inlineStr">
        <is>
          <t>Email: MARIACLARA.SANTOS@EXAMPLE.COM</t>
        </is>
      </c>
      <c r="I10" s="23" t="inlineStr">
        <is>
          <t>The email is treated as a duplicate. Registration is blocked.</t>
        </is>
      </c>
      <c r="J10" s="4" t="inlineStr">
        <is>
          <t>A3</t>
        </is>
      </c>
      <c r="K10" s="5" t="inlineStr">
        <is>
          <t>Blocked with "The email has already been taken."</t>
        </is>
      </c>
      <c r="L10" s="6" t="inlineStr">
        <is>
          <t>Pass</t>
        </is>
      </c>
      <c r="M10" s="5" t="n"/>
    </row>
    <row r="11" ht="52.8" customHeight="1">
      <c r="A11" s="2" t="inlineStr">
        <is>
          <t>TC-SEL-010</t>
        </is>
      </c>
      <c r="B11" s="23" t="inlineStr">
        <is>
          <t>Email</t>
        </is>
      </c>
      <c r="C11" s="23" t="inlineStr">
        <is>
          <t>Email with spaces before and after</t>
        </is>
      </c>
      <c r="D11" s="23" t="inlineStr">
        <is>
          <t>Error Guessing</t>
        </is>
      </c>
      <c r="E11" s="4" t="inlineStr">
        <is>
          <t>Low</t>
        </is>
      </c>
      <c r="F11" s="23" t="inlineStr">
        <is>
          <t>The seller registration page is open. The email, mobile number and other unique values in the test data are not yet registered.</t>
        </is>
      </c>
      <c r="G11" s="23" t="inlineStr">
        <is>
          <t>1. Fill in all other fields with valid data.
2. Type two spaces before and after the email.
3. Click Register.</t>
        </is>
      </c>
      <c r="H11" s="23" t="inlineStr">
        <is>
          <t>Email: "  seller.test01@example.com  "</t>
        </is>
      </c>
      <c r="I11" s="23" t="inlineStr">
        <is>
          <t>The spaces are removed and the email is saved as seller.test01@example.com.</t>
        </is>
      </c>
      <c r="J11" s="4" t="inlineStr">
        <is>
          <t>A3</t>
        </is>
      </c>
      <c r="K11" s="5" t="inlineStr">
        <is>
          <t>Accepted and saved as seller.space01@example.com with the spaces removed.</t>
        </is>
      </c>
      <c r="L11" s="6" t="inlineStr">
        <is>
          <t>Pass</t>
        </is>
      </c>
      <c r="M11" s="5" t="n"/>
    </row>
    <row r="12" ht="52.8" customHeight="1">
      <c r="A12" s="2" t="inlineStr">
        <is>
          <t>TC-SEL-011</t>
        </is>
      </c>
      <c r="B12" s="23" t="inlineStr">
        <is>
          <t>Mobile Number</t>
        </is>
      </c>
      <c r="C12" s="23" t="inlineStr">
        <is>
          <t>Mobile number in an invalid format</t>
        </is>
      </c>
      <c r="D12" s="23" t="inlineStr">
        <is>
          <t>Equivalence Partitioning</t>
        </is>
      </c>
      <c r="E12" s="4" t="inlineStr">
        <is>
          <t>High</t>
        </is>
      </c>
      <c r="F12" s="23" t="inlineStr">
        <is>
          <t>The seller registration page is open.</t>
        </is>
      </c>
      <c r="G12" s="23" t="inlineStr">
        <is>
          <t>1. Fill in all other fields with valid data.
2. Enter each mobile number in the test data, one per attempt.
3. Click Register.</t>
        </is>
      </c>
      <c r="H12" s="23" t="inlineStr">
        <is>
          <t>0917ABC4567 (letters)
0917-123-456 (symbols, too short)
12345678901 (does not start with 09)
02-8123-4567 (landline)</t>
        </is>
      </c>
      <c r="I12" s="23" t="inlineStr">
        <is>
          <t>Each value is rejected with a message asking for a valid mobile number.</t>
        </is>
      </c>
      <c r="J12" s="4" t="inlineStr">
        <is>
          <t>A4</t>
        </is>
      </c>
      <c r="K12" s="5" t="inlineStr">
        <is>
          <t>Each value rejected with the 11-digit 09 message; the browser removes letters and symbols while typing.</t>
        </is>
      </c>
      <c r="L12" s="6" t="inlineStr">
        <is>
          <t>Pass</t>
        </is>
      </c>
      <c r="M12" s="5" t="n"/>
    </row>
    <row r="13" ht="52.8" customHeight="1">
      <c r="A13" s="2" t="inlineStr">
        <is>
          <t>TC-SEL-012</t>
        </is>
      </c>
      <c r="B13" s="23" t="inlineStr">
        <is>
          <t>Mobile Number</t>
        </is>
      </c>
      <c r="C13" s="23" t="inlineStr">
        <is>
          <t>Mobile number length at the limits</t>
        </is>
      </c>
      <c r="D13" s="23" t="inlineStr">
        <is>
          <t>Boundary Value Analysis</t>
        </is>
      </c>
      <c r="E13" s="4" t="inlineStr">
        <is>
          <t>High</t>
        </is>
      </c>
      <c r="F13" s="23" t="inlineStr">
        <is>
          <t>The seller registration page is open. The email, mobile number and other unique values in the test data are not yet registered.</t>
        </is>
      </c>
      <c r="G13" s="23" t="inlineStr">
        <is>
          <t>1. Fill in all other fields with valid data.
2. Enter each mobile number in the test data, one per attempt.
3. Click Register.</t>
        </is>
      </c>
      <c r="H13" s="23" t="inlineStr">
        <is>
          <t>10 digits: 0917123456 (reject)
11 digits: 09170000001 (accept)
12 digits: 091712345678 (reject)</t>
        </is>
      </c>
      <c r="I13" s="23" t="inlineStr">
        <is>
          <t>10 and 12 digits are rejected with a length message. 11 digits is accepted.</t>
        </is>
      </c>
      <c r="J13" s="4" t="inlineStr">
        <is>
          <t>A4</t>
        </is>
      </c>
      <c r="K13" s="5" t="inlineStr">
        <is>
          <t>10 digits rejected, 11 accepted, 12 cannot be typed and is rejected by the server.</t>
        </is>
      </c>
      <c r="L13" s="6" t="inlineStr">
        <is>
          <t>Pass</t>
        </is>
      </c>
      <c r="M13" s="5" t="n"/>
    </row>
    <row r="14" ht="39.6" customHeight="1">
      <c r="A14" s="2" t="inlineStr">
        <is>
          <t>TC-SEL-013</t>
        </is>
      </c>
      <c r="B14" s="23" t="inlineStr">
        <is>
          <t>Mobile Number</t>
        </is>
      </c>
      <c r="C14" s="23" t="inlineStr">
        <is>
          <t>Mobile number that is already registered</t>
        </is>
      </c>
      <c r="D14" s="23" t="inlineStr">
        <is>
          <t>Equivalence Partitioning</t>
        </is>
      </c>
      <c r="E14" s="4" t="inlineStr">
        <is>
          <t>Medium</t>
        </is>
      </c>
      <c r="F14" s="23" t="inlineStr">
        <is>
          <t>The seller registration page is open. An account already exists with mobile number 09189876543.</t>
        </is>
      </c>
      <c r="G14" s="23" t="inlineStr">
        <is>
          <t>1. Fill in all other fields with valid data.
2. Enter the existing mobile number.
3. Click Register.</t>
        </is>
      </c>
      <c r="H14" s="23" t="inlineStr">
        <is>
          <t>Mobile: 09189876543</t>
        </is>
      </c>
      <c r="I14" s="23" t="inlineStr">
        <is>
          <t>Registration is blocked. A message says the mobile number is already in use.</t>
        </is>
      </c>
      <c r="J14" s="4" t="inlineStr">
        <is>
          <t>A4</t>
        </is>
      </c>
      <c r="K14" s="5" t="inlineStr">
        <is>
          <t>Accepted. Another account was created with 09189876543.</t>
        </is>
      </c>
      <c r="L14" s="6" t="inlineStr">
        <is>
          <t>Fail</t>
        </is>
      </c>
      <c r="M14" s="5" t="inlineStr">
        <is>
          <t>Mobile numbers are not checked for duplicates.</t>
        </is>
      </c>
    </row>
    <row r="15" ht="39.6" customHeight="1">
      <c r="A15" s="2" t="inlineStr">
        <is>
          <t>TC-SEL-014</t>
        </is>
      </c>
      <c r="B15" s="23" t="inlineStr">
        <is>
          <t>Mobile Number</t>
        </is>
      </c>
      <c r="C15" s="23" t="inlineStr">
        <is>
          <t>Registered number entered in +63 format</t>
        </is>
      </c>
      <c r="D15" s="23" t="inlineStr">
        <is>
          <t>Error Guessing</t>
        </is>
      </c>
      <c r="E15" s="4" t="inlineStr">
        <is>
          <t>Medium</t>
        </is>
      </c>
      <c r="F15" s="23" t="inlineStr">
        <is>
          <t>The seller registration page is open. An account already exists with mobile number 09189876543.</t>
        </is>
      </c>
      <c r="G15" s="23" t="inlineStr">
        <is>
          <t>1. Fill in all other fields with valid data.
2. Enter the same number in +63 format.
3. Click Register.</t>
        </is>
      </c>
      <c r="H15" s="23" t="inlineStr">
        <is>
          <t>Mobile: +639189876543</t>
        </is>
      </c>
      <c r="I15" s="23" t="inlineStr">
        <is>
          <t>The +63 format is recognised as the same number. Registration is blocked. A message says the mobile number is already in use.</t>
        </is>
      </c>
      <c r="J15" s="4" t="inlineStr">
        <is>
          <t>A4</t>
        </is>
      </c>
      <c r="K15" s="5" t="inlineStr">
        <is>
          <t>Rejected as an invalid format, not recognised as the same number.</t>
        </is>
      </c>
      <c r="L15" s="6" t="inlineStr">
        <is>
          <t>Fail</t>
        </is>
      </c>
      <c r="M15" s="5" t="inlineStr">
        <is>
          <t>+63 numbers are not supported.</t>
        </is>
      </c>
    </row>
    <row r="16" ht="52.8" customHeight="1">
      <c r="A16" s="2" t="inlineStr">
        <is>
          <t>TC-SEL-015</t>
        </is>
      </c>
      <c r="B16" s="23" t="inlineStr">
        <is>
          <t>Password</t>
        </is>
      </c>
      <c r="C16" s="23" t="inlineStr">
        <is>
          <t>Password length at the limit</t>
        </is>
      </c>
      <c r="D16" s="23" t="inlineStr">
        <is>
          <t>Boundary Value Analysis</t>
        </is>
      </c>
      <c r="E16" s="4" t="inlineStr">
        <is>
          <t>High</t>
        </is>
      </c>
      <c r="F16" s="23" t="inlineStr">
        <is>
          <t>The seller registration page is open. The email, mobile number and other unique values in the test data are not yet registered.</t>
        </is>
      </c>
      <c r="G16" s="23" t="inlineStr">
        <is>
          <t>1. Fill in all other fields with valid data.
2. Enter each password in both password fields, one per attempt.
3. Click Register.</t>
        </is>
      </c>
      <c r="H16" s="23" t="inlineStr">
        <is>
          <t>7 characters: Tind@26 (reject)
8 characters: Tinda@26 (accept)</t>
        </is>
      </c>
      <c r="I16" s="23" t="inlineStr">
        <is>
          <t>7 characters is rejected with a minimum-length message. 8 characters is accepted.</t>
        </is>
      </c>
      <c r="J16" s="4" t="inlineStr">
        <is>
          <t>A5</t>
        </is>
      </c>
      <c r="K16" s="5" t="inlineStr">
        <is>
          <t>7 characters rejected with the password rule message; 8 characters accepted.</t>
        </is>
      </c>
      <c r="L16" s="6" t="inlineStr">
        <is>
          <t>Pass</t>
        </is>
      </c>
      <c r="M16" s="5" t="n"/>
    </row>
    <row r="17" ht="52.8" customHeight="1">
      <c r="A17" s="2" t="inlineStr">
        <is>
          <t>TC-SEL-016</t>
        </is>
      </c>
      <c r="B17" s="23" t="inlineStr">
        <is>
          <t>Password</t>
        </is>
      </c>
      <c r="C17" s="23" t="inlineStr">
        <is>
          <t>Password missing a required character type</t>
        </is>
      </c>
      <c r="D17" s="23" t="inlineStr">
        <is>
          <t>Decision Table</t>
        </is>
      </c>
      <c r="E17" s="4" t="inlineStr">
        <is>
          <t>High</t>
        </is>
      </c>
      <c r="F17" s="23" t="inlineStr">
        <is>
          <t>The seller registration page is open.</t>
        </is>
      </c>
      <c r="G17" s="23" t="inlineStr">
        <is>
          <t>1. Fill in all other fields with valid data.
2. Enter each password in both password fields, one per attempt.
3. Click Register.</t>
        </is>
      </c>
      <c r="H17" s="23" t="inlineStr">
        <is>
          <t>No uppercase: tindahan@2026
No lowercase: TINDAHAN@2026
No number: Tindahan@abcd
No special character: Tindahan2026</t>
        </is>
      </c>
      <c r="I17" s="23" t="inlineStr">
        <is>
          <t>Each password is rejected with a message stating the password rule. No account is created.</t>
        </is>
      </c>
      <c r="J17" s="4" t="inlineStr">
        <is>
          <t>A5</t>
        </is>
      </c>
      <c r="K17" s="5" t="inlineStr">
        <is>
          <t>No uppercase, no lowercase and no special character rejected. No number ("Tindahan@abcd") accepted.</t>
        </is>
      </c>
      <c r="L17" s="6" t="inlineStr">
        <is>
          <t>Fail</t>
        </is>
      </c>
      <c r="M17" s="5" t="inlineStr">
        <is>
          <t>The password rule does not require a number.</t>
        </is>
      </c>
    </row>
    <row r="18" ht="52.8" customHeight="1">
      <c r="A18" s="2" t="inlineStr">
        <is>
          <t>TC-SEL-017</t>
        </is>
      </c>
      <c r="B18" s="23" t="inlineStr">
        <is>
          <t>Password</t>
        </is>
      </c>
      <c r="C18" s="23" t="inlineStr">
        <is>
          <t>Confirm Password does not match</t>
        </is>
      </c>
      <c r="D18" s="23" t="inlineStr">
        <is>
          <t>Equivalence Partitioning</t>
        </is>
      </c>
      <c r="E18" s="4" t="inlineStr">
        <is>
          <t>High</t>
        </is>
      </c>
      <c r="F18" s="23" t="inlineStr">
        <is>
          <t>The seller registration page is open.</t>
        </is>
      </c>
      <c r="G18" s="23" t="inlineStr">
        <is>
          <t>1. Fill in all other fields with valid data.
2. Enter the test data in Password and Confirm Password.
3. Click Register.</t>
        </is>
      </c>
      <c r="H18" s="23" t="inlineStr">
        <is>
          <t>Password: Tindahan@2026
Confirm Password: Tindahan@2027</t>
        </is>
      </c>
      <c r="I18" s="23" t="inlineStr">
        <is>
          <t>Registration is blocked. A message says the passwords do not match.</t>
        </is>
      </c>
      <c r="J18" s="4" t="inlineStr">
        <is>
          <t>A5</t>
        </is>
      </c>
      <c r="K18" s="5" t="inlineStr">
        <is>
          <t>Blocked with "The password field confirmation does not match."</t>
        </is>
      </c>
      <c r="L18" s="6" t="inlineStr">
        <is>
          <t>Pass</t>
        </is>
      </c>
      <c r="M18" s="5" t="n"/>
    </row>
    <row r="19" ht="39.6" customHeight="1">
      <c r="A19" s="2" t="inlineStr">
        <is>
          <t>TC-SEL-018</t>
        </is>
      </c>
      <c r="B19" s="23" t="inlineStr">
        <is>
          <t>Password</t>
        </is>
      </c>
      <c r="C19" s="23" t="inlineStr">
        <is>
          <t>Password is hidden while typing</t>
        </is>
      </c>
      <c r="D19" s="23" t="inlineStr">
        <is>
          <t>Error Guessing</t>
        </is>
      </c>
      <c r="E19" s="4" t="inlineStr">
        <is>
          <t>Low</t>
        </is>
      </c>
      <c r="F19" s="23" t="inlineStr">
        <is>
          <t>The seller registration page is open.</t>
        </is>
      </c>
      <c r="G19" s="23" t="inlineStr">
        <is>
          <t>1. Type the password.
2. If a show/hide icon is provided, click it twice.</t>
        </is>
      </c>
      <c r="H19" s="23" t="inlineStr">
        <is>
          <t>Password: Tindahan@2026</t>
        </is>
      </c>
      <c r="I19" s="23" t="inlineStr">
        <is>
          <t>Characters are hidden as dots by default. The icon reveals the password, then hides it again.</t>
        </is>
      </c>
      <c r="J19" s="4" t="inlineStr">
        <is>
          <t>A5</t>
        </is>
      </c>
      <c r="K19" s="5" t="inlineStr">
        <is>
          <t>Hidden by default; Show password reveals it and hides it again.</t>
        </is>
      </c>
      <c r="L19" s="6" t="inlineStr">
        <is>
          <t>Pass</t>
        </is>
      </c>
      <c r="M19" s="5" t="n"/>
    </row>
    <row r="20" ht="52.8" customHeight="1">
      <c r="A20" s="2" t="inlineStr">
        <is>
          <t>TC-SEL-019</t>
        </is>
      </c>
      <c r="B20" s="23" t="inlineStr">
        <is>
          <t>Terms and Privacy Policy</t>
        </is>
      </c>
      <c r="C20" s="23" t="inlineStr">
        <is>
          <t>Register without accepting the terms</t>
        </is>
      </c>
      <c r="D20" s="23" t="inlineStr">
        <is>
          <t>Equivalence Partitioning</t>
        </is>
      </c>
      <c r="E20" s="4" t="inlineStr">
        <is>
          <t>Medium</t>
        </is>
      </c>
      <c r="F20" s="23" t="inlineStr">
        <is>
          <t>The seller registration page is open.</t>
        </is>
      </c>
      <c r="G20" s="23" t="inlineStr">
        <is>
          <t>1. Fill in all fields with valid data.
2. Leave the Terms and Privacy Policy checkbox unticked.
3. Click Register.</t>
        </is>
      </c>
      <c r="H20" s="23" t="inlineStr">
        <is>
          <t>Terms and Privacy Policy: unticked</t>
        </is>
      </c>
      <c r="I20" s="23" t="inlineStr">
        <is>
          <t>Registration is blocked. A message says the Terms and Privacy Policy must be accepted.</t>
        </is>
      </c>
      <c r="J20" s="4" t="inlineStr">
        <is>
          <t>A1</t>
        </is>
      </c>
      <c r="K20" s="5" t="inlineStr">
        <is>
          <t>No Terms checkbox. Registration completes without it.</t>
        </is>
      </c>
      <c r="L20" s="6" t="inlineStr">
        <is>
          <t>Fail</t>
        </is>
      </c>
      <c r="M20" s="5" t="inlineStr">
        <is>
          <t>Terms checkbox not implemented.</t>
        </is>
      </c>
    </row>
    <row r="21" ht="52.8" customHeight="1">
      <c r="A21" s="2" t="inlineStr">
        <is>
          <t>TC-SEL-020</t>
        </is>
      </c>
      <c r="B21" s="23" t="inlineStr">
        <is>
          <t>Registration Form</t>
        </is>
      </c>
      <c r="C21" s="23" t="inlineStr">
        <is>
          <t>Click Register several times quickly</t>
        </is>
      </c>
      <c r="D21" s="23" t="inlineStr">
        <is>
          <t>Error Guessing</t>
        </is>
      </c>
      <c r="E21" s="4" t="inlineStr">
        <is>
          <t>Medium</t>
        </is>
      </c>
      <c r="F21" s="23" t="inlineStr">
        <is>
          <t>The seller registration page is open. The email, mobile number and other unique values in the test data are not yet registered.</t>
        </is>
      </c>
      <c r="G21" s="23" t="inlineStr">
        <is>
          <t>1. Fill in all fields with the Account 2 data from the Test Data sheet.
2. Click Register three times in quick succession.</t>
        </is>
      </c>
      <c r="H21" s="23" t="inlineStr">
        <is>
          <t>Account 2 data (Test Data sheet, column G)</t>
        </is>
      </c>
      <c r="I21" s="23" t="inlineStr">
        <is>
          <t>Only one account is created and only one OTP email is sent. No duplicate-email error page appears.</t>
        </is>
      </c>
      <c r="J21" s="4" t="inlineStr">
        <is>
          <t>A3</t>
        </is>
      </c>
      <c r="K21" s="5" t="inlineStr">
        <is>
          <t>The Register button is disabled after the first click. Three simultaneous submissions created one account and sent one code.</t>
        </is>
      </c>
      <c r="L21" s="6" t="inlineStr">
        <is>
          <t>Pass</t>
        </is>
      </c>
      <c r="M21" s="5" t="n"/>
    </row>
    <row r="22" ht="52.8" customHeight="1">
      <c r="A22" s="2" t="inlineStr">
        <is>
          <t>TC-SEL-021</t>
        </is>
      </c>
      <c r="B22" s="23" t="inlineStr">
        <is>
          <t>Shop Details</t>
        </is>
      </c>
      <c r="C22" s="23" t="inlineStr">
        <is>
          <t>Shop name already used by another seller</t>
        </is>
      </c>
      <c r="D22" s="23" t="inlineStr">
        <is>
          <t>Equivalence Partitioning</t>
        </is>
      </c>
      <c r="E22" s="4" t="inlineStr">
        <is>
          <t>Medium</t>
        </is>
      </c>
      <c r="F22" s="23" t="inlineStr">
        <is>
          <t>The seller registration page is open. The seller account mariaclara.santos@example.com already exists.</t>
        </is>
      </c>
      <c r="G22" s="23" t="inlineStr">
        <is>
          <t>1. Fill in all other fields with valid data.
2. Enter the existing shop name.
3. Click Register.</t>
        </is>
      </c>
      <c r="H22" s="23" t="inlineStr">
        <is>
          <t>Shop Name: Maria Clara Handicrafts</t>
        </is>
      </c>
      <c r="I22" s="23" t="inlineStr">
        <is>
          <t>Registration is blocked. A message says the shop name is already taken.</t>
        </is>
      </c>
      <c r="J22" s="4" t="inlineStr">
        <is>
          <t>A14</t>
        </is>
      </c>
      <c r="K22" s="5" t="inlineStr">
        <is>
          <t>No Shop Name field. The account was created and the shop was named automatically after the person; several sellers share the same automatic name.</t>
        </is>
      </c>
      <c r="L22" s="6" t="inlineStr">
        <is>
          <t>Fail</t>
        </is>
      </c>
      <c r="M22" s="5" t="inlineStr">
        <is>
          <t>Shop names are not collected at registration or checked for uniqueness.</t>
        </is>
      </c>
    </row>
    <row r="23" ht="79.2" customHeight="1">
      <c r="A23" s="2" t="inlineStr">
        <is>
          <t>TC-SEL-022</t>
        </is>
      </c>
      <c r="B23" s="23" t="inlineStr">
        <is>
          <t>Shop Details</t>
        </is>
      </c>
      <c r="C23" s="23" t="inlineStr">
        <is>
          <t>Shop name length at the limits</t>
        </is>
      </c>
      <c r="D23" s="23" t="inlineStr">
        <is>
          <t>Boundary Value Analysis</t>
        </is>
      </c>
      <c r="E23" s="4" t="inlineStr">
        <is>
          <t>Medium</t>
        </is>
      </c>
      <c r="F23" s="23" t="inlineStr">
        <is>
          <t>The seller registration page is open. The email, mobile number and other unique values in the test data are not yet registered.</t>
        </is>
      </c>
      <c r="G23" s="23" t="inlineStr">
        <is>
          <t>1. Fill in all other fields with valid data.
2. Enter each shop name in the test data, one per attempt.
3. Click Register.</t>
        </is>
      </c>
      <c r="H23" s="23" t="inlineStr">
        <is>
          <t>2 characters: MC (reject)
3 characters: MCH (accept)
30 characters: Maria Clara Handicrafts Manila (accept)
31 characters: Maria Clara Handicrafts, Manila (reject)</t>
        </is>
      </c>
      <c r="I23" s="23" t="inlineStr">
        <is>
          <t>2 and 31 characters are rejected with a length message. 3 and 30 characters are accepted.</t>
        </is>
      </c>
      <c r="J23" s="4" t="inlineStr">
        <is>
          <t>A14</t>
        </is>
      </c>
      <c r="K23" s="5" t="inlineStr">
        <is>
          <t>No Shop Name field, so the length limits cannot apply. The account was created.</t>
        </is>
      </c>
      <c r="L23" s="6" t="inlineStr">
        <is>
          <t>Fail</t>
        </is>
      </c>
      <c r="M23" s="5" t="inlineStr">
        <is>
          <t>The store name can be changed later under Account.</t>
        </is>
      </c>
    </row>
    <row r="24" ht="66" customHeight="1">
      <c r="A24" s="2" t="inlineStr">
        <is>
          <t>TC-SEL-023</t>
        </is>
      </c>
      <c r="B24" s="23" t="inlineStr">
        <is>
          <t>Business Details</t>
        </is>
      </c>
      <c r="C24" s="23" t="inlineStr">
        <is>
          <t>Required documents change with the seller type</t>
        </is>
      </c>
      <c r="D24" s="23" t="inlineStr">
        <is>
          <t>Decision Table</t>
        </is>
      </c>
      <c r="E24" s="4" t="inlineStr">
        <is>
          <t>High</t>
        </is>
      </c>
      <c r="F24" s="23" t="inlineStr">
        <is>
          <t>The seller registration page is open. The email, mobile number and other unique values in the test data are not yet registered.</t>
        </is>
      </c>
      <c r="G24" s="23" t="inlineStr">
        <is>
          <t>1. Select each seller type in turn.
2. Check which upload fields are marked required.
3. Upload only the documents listed for that type and click Register.</t>
        </is>
      </c>
      <c r="H24" s="23" t="inlineStr">
        <is>
          <t>Individual: govt_id_front.jpg
Sole Proprietorship: govt_id_front.jpg + dti_certificate.pdf + bir_2303.pdf
Corporation: govt_id_front.jpg + sec_certificate.pdf + bir_2303.pdf</t>
        </is>
      </c>
      <c r="I24" s="23" t="inlineStr">
        <is>
          <t>For each seller type, only the listed documents are required and registration continues to email verification.</t>
        </is>
      </c>
      <c r="J24" s="4" t="inlineStr">
        <is>
          <t>A11</t>
        </is>
      </c>
      <c r="K24" s="5" t="inlineStr">
        <is>
          <t>No Seller Type or document upload fields on the form.</t>
        </is>
      </c>
      <c r="L24" s="6" t="inlineStr">
        <is>
          <t>Fail</t>
        </is>
      </c>
      <c r="M24" s="5" t="inlineStr">
        <is>
          <t>Seller documents are not collected.</t>
        </is>
      </c>
    </row>
    <row r="25" ht="66" customHeight="1">
      <c r="A25" s="2" t="inlineStr">
        <is>
          <t>TC-SEL-024</t>
        </is>
      </c>
      <c r="B25" s="23" t="inlineStr">
        <is>
          <t>Business Details</t>
        </is>
      </c>
      <c r="C25" s="23" t="inlineStr">
        <is>
          <t>Corporation registers without the SEC certificate</t>
        </is>
      </c>
      <c r="D25" s="23" t="inlineStr">
        <is>
          <t>Decision Table</t>
        </is>
      </c>
      <c r="E25" s="4" t="inlineStr">
        <is>
          <t>High</t>
        </is>
      </c>
      <c r="F25" s="23" t="inlineStr">
        <is>
          <t>The seller registration page is open.</t>
        </is>
      </c>
      <c r="G25" s="23" t="inlineStr">
        <is>
          <t>1. Fill in all other fields with valid data.
2. Select the seller type and upload only the files in the test data.
3. Click Register.</t>
        </is>
      </c>
      <c r="H25" s="23" t="inlineStr">
        <is>
          <t>Seller Type: Corporation
Government-issued ID: govt_id_front.jpg
BIR Form 2303: bir_2303.pdf
SEC Certificate: none</t>
        </is>
      </c>
      <c r="I25" s="23" t="inlineStr">
        <is>
          <t>Registration is blocked. A message says the SEC Certificate is required for corporations. No account is created.</t>
        </is>
      </c>
      <c r="J25" s="4" t="inlineStr">
        <is>
          <t>A11</t>
        </is>
      </c>
      <c r="K25" s="5" t="inlineStr">
        <is>
          <t>No Seller Type field. Registration succeeded with no documents at all.</t>
        </is>
      </c>
      <c r="L25" s="6" t="inlineStr">
        <is>
          <t>Fail</t>
        </is>
      </c>
      <c r="M25" s="5" t="inlineStr">
        <is>
          <t>Seller documents are not collected.</t>
        </is>
      </c>
    </row>
    <row r="26" ht="52.8" customHeight="1">
      <c r="A26" s="2" t="inlineStr">
        <is>
          <t>TC-SEL-025</t>
        </is>
      </c>
      <c r="B26" s="23" t="inlineStr">
        <is>
          <t>Business Details</t>
        </is>
      </c>
      <c r="C26" s="23" t="inlineStr">
        <is>
          <t>TIN in an invalid format or length</t>
        </is>
      </c>
      <c r="D26" s="23" t="inlineStr">
        <is>
          <t>Boundary Value Analysis</t>
        </is>
      </c>
      <c r="E26" s="4" t="inlineStr">
        <is>
          <t>High</t>
        </is>
      </c>
      <c r="F26" s="23" t="inlineStr">
        <is>
          <t>The seller registration page is open.</t>
        </is>
      </c>
      <c r="G26" s="23" t="inlineStr">
        <is>
          <t>1. Fill in all other fields with valid data.
2. Enter each TIN in the test data, one per attempt.
3. Click Register.</t>
        </is>
      </c>
      <c r="H26" s="23" t="inlineStr">
        <is>
          <t>11 digits: 123-456-789-00 (reject)
12 digits: 345-678-901-000 (accept)
13 digits: 123-456-789-0001 (reject)
Letters: 123-456-78A-000 (reject)</t>
        </is>
      </c>
      <c r="I26" s="23" t="inlineStr">
        <is>
          <t>Only the 12-digit TIN is accepted. The other values are rejected with a message showing the format 000-000-000-000.</t>
        </is>
      </c>
      <c r="J26" s="4" t="inlineStr">
        <is>
          <t>A8</t>
        </is>
      </c>
      <c r="K26" s="5" t="inlineStr">
        <is>
          <t>No TIN field. An invalid TIN was ignored and the account was created.</t>
        </is>
      </c>
      <c r="L26" s="6" t="inlineStr">
        <is>
          <t>Fail</t>
        </is>
      </c>
      <c r="M26" s="5" t="inlineStr">
        <is>
          <t>TIN not collected.</t>
        </is>
      </c>
    </row>
    <row r="27" ht="39.6" customHeight="1">
      <c r="A27" s="2" t="inlineStr">
        <is>
          <t>TC-SEL-026</t>
        </is>
      </c>
      <c r="B27" s="23" t="inlineStr">
        <is>
          <t>Business Details</t>
        </is>
      </c>
      <c r="C27" s="23" t="inlineStr">
        <is>
          <t>TIN that is already registered</t>
        </is>
      </c>
      <c r="D27" s="23" t="inlineStr">
        <is>
          <t>Equivalence Partitioning</t>
        </is>
      </c>
      <c r="E27" s="4" t="inlineStr">
        <is>
          <t>Medium</t>
        </is>
      </c>
      <c r="F27" s="23" t="inlineStr">
        <is>
          <t>The seller registration page is open. Another account already uses TIN 123-456-789-000.</t>
        </is>
      </c>
      <c r="G27" s="23" t="inlineStr">
        <is>
          <t>1. Fill in all other fields with valid data.
2. Enter the existing TIN.
3. Click Register.</t>
        </is>
      </c>
      <c r="H27" s="23" t="inlineStr">
        <is>
          <t>TIN: 123-456-789-000</t>
        </is>
      </c>
      <c r="I27" s="23" t="inlineStr">
        <is>
          <t>Registration is blocked. A message says the TIN is already registered.</t>
        </is>
      </c>
      <c r="J27" s="4" t="inlineStr">
        <is>
          <t>A8</t>
        </is>
      </c>
      <c r="K27" s="5" t="inlineStr">
        <is>
          <t>No TIN field, so duplicates cannot be checked.</t>
        </is>
      </c>
      <c r="L27" s="6" t="inlineStr">
        <is>
          <t>Fail</t>
        </is>
      </c>
      <c r="M27" s="5" t="inlineStr">
        <is>
          <t>TIN not collected.</t>
        </is>
      </c>
    </row>
    <row r="28" ht="66" customHeight="1">
      <c r="A28" s="2" t="inlineStr">
        <is>
          <t>TC-SEL-027</t>
        </is>
      </c>
      <c r="B28" s="23" t="inlineStr">
        <is>
          <t>Pickup Address</t>
        </is>
      </c>
      <c r="C28" s="23" t="inlineStr">
        <is>
          <t>Address dropdowns depend on each other</t>
        </is>
      </c>
      <c r="D28" s="23" t="inlineStr">
        <is>
          <t>Error Guessing</t>
        </is>
      </c>
      <c r="E28" s="4" t="inlineStr">
        <is>
          <t>Medium</t>
        </is>
      </c>
      <c r="F28" s="23" t="inlineStr">
        <is>
          <t>The seller registration page is open.</t>
        </is>
      </c>
      <c r="G28" s="23" t="inlineStr">
        <is>
          <t>1. Select the Region, Province, City and Barangay in the test data.
2. Change the Region to Region VII (Central Visayas).
3. Open the Province dropdown.</t>
        </is>
      </c>
      <c r="H28" s="23" t="inlineStr">
        <is>
          <t>Region: National Capital Region (NCR)
Province: Metro Manila
City / Municipality: Quezon City
Barangay: Commonwealth</t>
        </is>
      </c>
      <c r="I28" s="23" t="inlineStr">
        <is>
          <t>After the change, Province, City and Barangay are cleared. The Province list shows only Region VII provinces such as Cebu and Bohol. Quezon City and Commonwealth can no longer be selected.</t>
        </is>
      </c>
      <c r="J28" s="4" t="inlineStr">
        <is>
          <t>A7</t>
        </is>
      </c>
      <c r="K28" s="5" t="inlineStr">
        <is>
          <t>No address fields on the seller registration form.</t>
        </is>
      </c>
      <c r="L28" s="6" t="inlineStr">
        <is>
          <t>Fail</t>
        </is>
      </c>
      <c r="M28" s="5" t="inlineStr">
        <is>
          <t>Pickup address not collected at registration.</t>
        </is>
      </c>
    </row>
    <row r="29" ht="52.8" customHeight="1">
      <c r="A29" s="2" t="inlineStr">
        <is>
          <t>TC-SEL-028</t>
        </is>
      </c>
      <c r="B29" s="23" t="inlineStr">
        <is>
          <t>Pickup Address</t>
        </is>
      </c>
      <c r="C29" s="23" t="inlineStr">
        <is>
          <t>Postal code length and format</t>
        </is>
      </c>
      <c r="D29" s="23" t="inlineStr">
        <is>
          <t>Boundary Value Analysis</t>
        </is>
      </c>
      <c r="E29" s="4" t="inlineStr">
        <is>
          <t>Medium</t>
        </is>
      </c>
      <c r="F29" s="23" t="inlineStr">
        <is>
          <t>The seller registration page is open.</t>
        </is>
      </c>
      <c r="G29" s="23" t="inlineStr">
        <is>
          <t>1. Fill in all other fields with valid data.
2. Enter each postal code in the test data, one per attempt.
3. Click Register.</t>
        </is>
      </c>
      <c r="H29" s="23" t="inlineStr">
        <is>
          <t>3 digits: 112 (reject)
4 digits: 1121 (accept)
5 digits: 11210 (reject)
Letters: 11A1 (reject)</t>
        </is>
      </c>
      <c r="I29" s="23" t="inlineStr">
        <is>
          <t>Only the 4-digit postal code is accepted. The other values are rejected with a message asking for a 4-digit postal code.</t>
        </is>
      </c>
      <c r="J29" s="4" t="inlineStr">
        <is>
          <t>A7</t>
        </is>
      </c>
      <c r="K29" s="5" t="inlineStr">
        <is>
          <t>No Postal Code field. An invalid postal code was ignored and the account was created.</t>
        </is>
      </c>
      <c r="L29" s="6" t="inlineStr">
        <is>
          <t>Fail</t>
        </is>
      </c>
      <c r="M29" s="5" t="inlineStr">
        <is>
          <t>Address not collected at registration.</t>
        </is>
      </c>
    </row>
    <row r="30" ht="79.2" customHeight="1">
      <c r="A30" s="2" t="inlineStr">
        <is>
          <t>TC-SEL-029</t>
        </is>
      </c>
      <c r="B30" s="23" t="inlineStr">
        <is>
          <t>Document Upload</t>
        </is>
      </c>
      <c r="C30" s="23" t="inlineStr">
        <is>
          <t>Upload documents in each accepted file type</t>
        </is>
      </c>
      <c r="D30" s="23" t="inlineStr">
        <is>
          <t>Equivalence Partitioning</t>
        </is>
      </c>
      <c r="E30" s="4" t="inlineStr">
        <is>
          <t>High</t>
        </is>
      </c>
      <c r="F30" s="23" t="inlineStr">
        <is>
          <t>The seller registration page is open. The email, mobile number and other unique values in the test data are not yet registered.</t>
        </is>
      </c>
      <c r="G30" s="23" t="inlineStr">
        <is>
          <t>1. Fill in all other fields with valid data.
2. Upload the files in the test data.
3. Click Register.</t>
        </is>
      </c>
      <c r="H30" s="23" t="inlineStr">
        <is>
          <t>Government-issued ID: govt_id_front.jpg (1.2 MB), then govt_id_front.png (2.4 MB)
DTI Certificate: dti_certificate.pdf (850 KB)
BIR Form 2303: bir_2303.pdf (1.1 MB)</t>
        </is>
      </c>
      <c r="I30" s="23" t="inlineStr">
        <is>
          <t>Each file is accepted and its name or preview is shown. Registration continues to email verification.</t>
        </is>
      </c>
      <c r="J30" s="4" t="inlineStr">
        <is>
          <t>A10</t>
        </is>
      </c>
      <c r="K30" s="5" t="inlineStr">
        <is>
          <t>No document upload fields on the form.</t>
        </is>
      </c>
      <c r="L30" s="6" t="inlineStr">
        <is>
          <t>Fail</t>
        </is>
      </c>
      <c r="M30" s="5" t="inlineStr">
        <is>
          <t>Seller documents are not collected.</t>
        </is>
      </c>
    </row>
    <row r="31" ht="52.8" customHeight="1">
      <c r="A31" s="2" t="inlineStr">
        <is>
          <t>TC-SEL-030</t>
        </is>
      </c>
      <c r="B31" s="23" t="inlineStr">
        <is>
          <t>Document Upload</t>
        </is>
      </c>
      <c r="C31" s="23" t="inlineStr">
        <is>
          <t>Upload a file type that is not accepted</t>
        </is>
      </c>
      <c r="D31" s="23" t="inlineStr">
        <is>
          <t>Equivalence Partitioning</t>
        </is>
      </c>
      <c r="E31" s="4" t="inlineStr">
        <is>
          <t>High</t>
        </is>
      </c>
      <c r="F31" s="23" t="inlineStr">
        <is>
          <t>The seller registration page is open.</t>
        </is>
      </c>
      <c r="G31" s="23" t="inlineStr">
        <is>
          <t>1. Fill in all other fields with valid data.
2. Try to upload each file in the test data to Government-issued ID, one per attempt.
3. Click Register.</t>
        </is>
      </c>
      <c r="H31" s="23" t="inlineStr">
        <is>
          <t>price_list.docx (320 KB)
store_banner.gif (480 KB)
installer.exe (2.1 MB)</t>
        </is>
      </c>
      <c r="I31" s="23" t="inlineStr">
        <is>
          <t>Each file is rejected with a message listing the accepted types (JPG, PNG, PDF). No account is created.</t>
        </is>
      </c>
      <c r="J31" s="4" t="inlineStr">
        <is>
          <t>A10</t>
        </is>
      </c>
      <c r="K31" s="5" t="inlineStr">
        <is>
          <t>No document upload fields on the form.</t>
        </is>
      </c>
      <c r="L31" s="6" t="inlineStr">
        <is>
          <t>Fail</t>
        </is>
      </c>
      <c r="M31" s="5" t="inlineStr">
        <is>
          <t>Seller documents are not collected.</t>
        </is>
      </c>
    </row>
    <row r="32" ht="52.8" customHeight="1">
      <c r="A32" s="2" t="inlineStr">
        <is>
          <t>TC-SEL-031</t>
        </is>
      </c>
      <c r="B32" s="23" t="inlineStr">
        <is>
          <t>Document Upload</t>
        </is>
      </c>
      <c r="C32" s="23" t="inlineStr">
        <is>
          <t>File size at the limit</t>
        </is>
      </c>
      <c r="D32" s="23" t="inlineStr">
        <is>
          <t>Boundary Value Analysis</t>
        </is>
      </c>
      <c r="E32" s="4" t="inlineStr">
        <is>
          <t>High</t>
        </is>
      </c>
      <c r="F32" s="23" t="inlineStr">
        <is>
          <t>The seller registration page is open. The email, mobile number and other unique values in the test data are not yet registered.</t>
        </is>
      </c>
      <c r="G32" s="23" t="inlineStr">
        <is>
          <t>1. Fill in all other fields with valid data.
2. Upload each file in the test data to Government-issued ID, one per attempt.
3. Click Register.</t>
        </is>
      </c>
      <c r="H32" s="23" t="inlineStr">
        <is>
          <t>size_4.9MB.jpg (accept)
size_5.0MB.jpg, exactly 5,120 KB (accept)
size_5.1MB.jpg (reject)</t>
        </is>
      </c>
      <c r="I32" s="23" t="inlineStr">
        <is>
          <t>The 4.9 MB and 5.0 MB files are accepted. The 5.1 MB file is rejected with a maximum-size message.</t>
        </is>
      </c>
      <c r="J32" s="4" t="inlineStr">
        <is>
          <t>A10</t>
        </is>
      </c>
      <c r="K32" s="5" t="inlineStr">
        <is>
          <t>No document upload fields on the form.</t>
        </is>
      </c>
      <c r="L32" s="6" t="inlineStr">
        <is>
          <t>Fail</t>
        </is>
      </c>
      <c r="M32" s="5" t="inlineStr">
        <is>
          <t>Seller documents are not collected.</t>
        </is>
      </c>
    </row>
    <row r="33" ht="79.2" customHeight="1">
      <c r="A33" s="2" t="inlineStr">
        <is>
          <t>TC-SEL-032</t>
        </is>
      </c>
      <c r="B33" s="23" t="inlineStr">
        <is>
          <t>Email Verification (OTP)</t>
        </is>
      </c>
      <c r="C33" s="23" t="inlineStr">
        <is>
          <t>Verify with the correct OTP</t>
        </is>
      </c>
      <c r="D33" s="23" t="inlineStr">
        <is>
          <t>State Transition</t>
        </is>
      </c>
      <c r="E33" s="4" t="inlineStr">
        <is>
          <t>High</t>
        </is>
      </c>
      <c r="F33" s="23" t="inlineStr">
        <is>
          <t>The seller account mariaclara.santos@example.com was just registered and is Unverified. The verification page is open and the OTP email has been read from the mail catcher.</t>
        </is>
      </c>
      <c r="G33" s="23" t="inlineStr">
        <is>
          <t>1. Enter the OTP from the email within 5 minutes.
2. Click Verify.</t>
        </is>
      </c>
      <c r="H33" s="23" t="inlineStr">
        <is>
          <t>OTP: the code in the email (for example 482913)</t>
        </is>
      </c>
      <c r="I33" s="23" t="inlineStr">
        <is>
          <t>Verification succeeds. The account status changes from Unverified to Pending Approval. A message says the application is waiting for admin approval.</t>
        </is>
      </c>
      <c r="J33" s="4" t="inlineStr">
        <is>
          <t>A9, A12</t>
        </is>
      </c>
      <c r="K33" s="5" t="inlineStr">
        <is>
          <t>Correct code accepted. The seller login page opened with "Email verified. Your account is still awaiting approval from an administrator." Status: Pending.</t>
        </is>
      </c>
      <c r="L33" s="6" t="inlineStr">
        <is>
          <t>Pass</t>
        </is>
      </c>
      <c r="M33" s="5" t="n"/>
    </row>
    <row r="34" ht="79.2" customHeight="1">
      <c r="A34" s="2" t="inlineStr">
        <is>
          <t>TC-SEL-033</t>
        </is>
      </c>
      <c r="B34" s="23" t="inlineStr">
        <is>
          <t>Email Verification (OTP)</t>
        </is>
      </c>
      <c r="C34" s="23" t="inlineStr">
        <is>
          <t>Verify with an incorrect OTP</t>
        </is>
      </c>
      <c r="D34" s="23" t="inlineStr">
        <is>
          <t>Equivalence Partitioning</t>
        </is>
      </c>
      <c r="E34" s="4" t="inlineStr">
        <is>
          <t>High</t>
        </is>
      </c>
      <c r="F34" s="23" t="inlineStr">
        <is>
          <t>The seller account mariaclara.santos@example.com was just registered and is Unverified. The verification page is open and the OTP email has been read from the mail catcher.</t>
        </is>
      </c>
      <c r="G34" s="23" t="inlineStr">
        <is>
          <t>1. Enter a code different from the one in the email.
2. Click Verify.</t>
        </is>
      </c>
      <c r="H34" s="23" t="inlineStr">
        <is>
          <t>OTP: 000000 (use 111111 if the real code is 000000)</t>
        </is>
      </c>
      <c r="I34" s="23" t="inlineStr">
        <is>
          <t>Verification fails with an invalid-code message. The account stays Unverified.</t>
        </is>
      </c>
      <c r="J34" s="4" t="inlineStr">
        <is>
          <t>A9</t>
        </is>
      </c>
      <c r="K34" s="5" t="inlineStr">
        <is>
          <t>Rejected with "That code is incorrect." The account stays unverified.</t>
        </is>
      </c>
      <c r="L34" s="6" t="inlineStr">
        <is>
          <t>Pass</t>
        </is>
      </c>
      <c r="M34" s="5" t="n"/>
    </row>
    <row r="35" ht="79.2" customHeight="1">
      <c r="A35" s="2" t="inlineStr">
        <is>
          <t>TC-SEL-034</t>
        </is>
      </c>
      <c r="B35" s="23" t="inlineStr">
        <is>
          <t>Email Verification (OTP)</t>
        </is>
      </c>
      <c r="C35" s="23" t="inlineStr">
        <is>
          <t>OTP in the wrong format</t>
        </is>
      </c>
      <c r="D35" s="23" t="inlineStr">
        <is>
          <t>Equivalence Partitioning</t>
        </is>
      </c>
      <c r="E35" s="4" t="inlineStr">
        <is>
          <t>Medium</t>
        </is>
      </c>
      <c r="F35" s="23" t="inlineStr">
        <is>
          <t>The seller account mariaclara.santos@example.com was just registered and is Unverified. The verification page is open and the OTP email has been read from the mail catcher.</t>
        </is>
      </c>
      <c r="G35" s="23" t="inlineStr">
        <is>
          <t>1. Enter each value in the test data, one per attempt.
2. Click Verify.</t>
        </is>
      </c>
      <c r="H35" s="23" t="inlineStr">
        <is>
          <t>5 digits: 48291
7 digits: 4829137
Letters: 48A91B
Blank</t>
        </is>
      </c>
      <c r="I35" s="23" t="inlineStr">
        <is>
          <t>Each value is rejected. The account stays Unverified.</t>
        </is>
      </c>
      <c r="J35" s="4" t="inlineStr">
        <is>
          <t>A9</t>
        </is>
      </c>
      <c r="K35" s="5" t="inlineStr">
        <is>
          <t>All rejected with "Enter the six-digit code from your email." The account stays unverified.</t>
        </is>
      </c>
      <c r="L35" s="6" t="inlineStr">
        <is>
          <t>Pass</t>
        </is>
      </c>
      <c r="M35" s="5" t="n"/>
    </row>
    <row r="36" ht="79.2" customHeight="1">
      <c r="A36" s="2" t="inlineStr">
        <is>
          <t>TC-SEL-035</t>
        </is>
      </c>
      <c r="B36" s="23" t="inlineStr">
        <is>
          <t>Email Verification (OTP)</t>
        </is>
      </c>
      <c r="C36" s="23" t="inlineStr">
        <is>
          <t>Verify with an expired OTP</t>
        </is>
      </c>
      <c r="D36" s="23" t="inlineStr">
        <is>
          <t>Boundary Value Analysis</t>
        </is>
      </c>
      <c r="E36" s="4" t="inlineStr">
        <is>
          <t>High</t>
        </is>
      </c>
      <c r="F36" s="23" t="inlineStr">
        <is>
          <t>The seller account mariaclara.santos@example.com was just registered and is Unverified. The verification page is open and the OTP email has been read from the mail catcher.</t>
        </is>
      </c>
      <c r="G36" s="23" t="inlineStr">
        <is>
          <t>1. Wait until 5 minutes and 1 second have passed since the OTP was sent.
2. Enter the OTP from the email.
3. Click Verify.</t>
        </is>
      </c>
      <c r="H36" s="23" t="inlineStr">
        <is>
          <t>OTP: the correct code, entered at 5:01 or later</t>
        </is>
      </c>
      <c r="I36" s="23" t="inlineStr">
        <is>
          <t>Verification fails with a message that the code has expired, and a Resend option is offered. The account stays Unverified.</t>
        </is>
      </c>
      <c r="J36" s="4" t="inlineStr">
        <is>
          <t>A9</t>
        </is>
      </c>
      <c r="K36" s="5" t="inlineStr">
        <is>
          <t>At 5:01 the code is still valid; it expires after 10 minutes. After expiry: "Your code has expired or is unavailable." with Resend available.</t>
        </is>
      </c>
      <c r="L36" s="6" t="inlineStr">
        <is>
          <t>Fail</t>
        </is>
      </c>
      <c r="M36" s="5" t="inlineStr">
        <is>
          <t>Codes last 10 minutes, not 5 (A9).</t>
        </is>
      </c>
    </row>
    <row r="37" ht="79.2" customHeight="1">
      <c r="A37" s="2" t="inlineStr">
        <is>
          <t>TC-SEL-036</t>
        </is>
      </c>
      <c r="B37" s="23" t="inlineStr">
        <is>
          <t>Email Verification (OTP)</t>
        </is>
      </c>
      <c r="C37" s="23" t="inlineStr">
        <is>
          <t>Resend OTP</t>
        </is>
      </c>
      <c r="D37" s="23" t="inlineStr">
        <is>
          <t>State Transition</t>
        </is>
      </c>
      <c r="E37" s="4" t="inlineStr">
        <is>
          <t>Medium</t>
        </is>
      </c>
      <c r="F37" s="23" t="inlineStr">
        <is>
          <t>The seller account mariaclara.santos@example.com was just registered and is Unverified. The verification page is open and the OTP email has been read from the mail catcher.</t>
        </is>
      </c>
      <c r="G37" s="23" t="inlineStr">
        <is>
          <t>1. Click Resend OTP.
2. Enter the first code and click Verify.
3. Enter the second code and click Verify.</t>
        </is>
      </c>
      <c r="H37" s="23" t="inlineStr">
        <is>
          <t>First code (for example 482913), then the second code (for example 907356)</t>
        </is>
      </c>
      <c r="I37" s="23" t="inlineStr">
        <is>
          <t>A new OTP email arrives. The first code is rejected. The second code is accepted and the account is verified.</t>
        </is>
      </c>
      <c r="J37" s="4" t="inlineStr">
        <is>
          <t>A9</t>
        </is>
      </c>
      <c r="K37" s="5" t="inlineStr">
        <is>
          <t>Resend allowed after one minute. The first code was rejected and the second accepted.</t>
        </is>
      </c>
      <c r="L37" s="6" t="inlineStr">
        <is>
          <t>Pass</t>
        </is>
      </c>
      <c r="M37" s="5" t="n"/>
    </row>
    <row r="38" ht="39.6" customHeight="1">
      <c r="A38" s="2" t="inlineStr">
        <is>
          <t>TC-SEL-037</t>
        </is>
      </c>
      <c r="B38" s="23" t="inlineStr">
        <is>
          <t>Email Verification (OTP)</t>
        </is>
      </c>
      <c r="C38" s="23" t="inlineStr">
        <is>
          <t>Log in before verifying the email</t>
        </is>
      </c>
      <c r="D38" s="23" t="inlineStr">
        <is>
          <t>State Transition</t>
        </is>
      </c>
      <c r="E38" s="4" t="inlineStr">
        <is>
          <t>High</t>
        </is>
      </c>
      <c r="F38" s="23" t="inlineStr">
        <is>
          <t>The seller account mariaclara.santos@example.com exists with status Unverified.</t>
        </is>
      </c>
      <c r="G38" s="23" t="inlineStr">
        <is>
          <t>1. Open the login page.
2. Log in with the unverified account.</t>
        </is>
      </c>
      <c r="H38" s="23" t="inlineStr">
        <is>
          <t>Email: mariaclara.santos@example.com
Password: Tindahan@2026</t>
        </is>
      </c>
      <c r="I38" s="23" t="inlineStr">
        <is>
          <t>The user is not given access. The verification page or a message asking to verify the email is shown.</t>
        </is>
      </c>
      <c r="J38" s="4" t="inlineStr">
        <is>
          <t>A9, A12</t>
        </is>
      </c>
      <c r="K38" s="5" t="inlineStr">
        <is>
          <t>Not given access. Login redirects to the email verification page.</t>
        </is>
      </c>
      <c r="L38" s="6" t="inlineStr">
        <is>
          <t>Pass</t>
        </is>
      </c>
      <c r="M38" s="5" t="n"/>
    </row>
    <row r="39" ht="52.8" customHeight="1">
      <c r="A39" s="2" t="inlineStr">
        <is>
          <t>TC-SEL-038</t>
        </is>
      </c>
      <c r="B39" s="23" t="inlineStr">
        <is>
          <t>Admin Approval</t>
        </is>
      </c>
      <c r="C39" s="23" t="inlineStr">
        <is>
          <t>Pending seller logs in</t>
        </is>
      </c>
      <c r="D39" s="23" t="inlineStr">
        <is>
          <t>State Transition</t>
        </is>
      </c>
      <c r="E39" s="4" t="inlineStr">
        <is>
          <t>High</t>
        </is>
      </c>
      <c r="F39" s="23" t="inlineStr">
        <is>
          <t>The seller account mariaclara.santos@example.com is verified and has status Pending Approval.</t>
        </is>
      </c>
      <c r="G39" s="23" t="inlineStr">
        <is>
          <t>1. Log in with the pending seller account.
2. Try to open the seller dashboard.</t>
        </is>
      </c>
      <c r="H39" s="23" t="inlineStr">
        <is>
          <t>Email: mariaclara.santos@example.com
Password: Tindahan@2026</t>
        </is>
      </c>
      <c r="I39" s="23" t="inlineStr">
        <is>
          <t>A notice says the application is under review. The seller cannot add products or receive orders.</t>
        </is>
      </c>
      <c r="J39" s="4" t="inlineStr">
        <is>
          <t>A12</t>
        </is>
      </c>
      <c r="K39" s="5" t="inlineStr">
        <is>
          <t>Login refused with "This seller account is pending approval or has been suspended." The dashboard and Add product pages redirect to the seller login.</t>
        </is>
      </c>
      <c r="L39" s="6" t="inlineStr">
        <is>
          <t>Pass</t>
        </is>
      </c>
      <c r="M39" s="5" t="n"/>
    </row>
    <row r="40" ht="52.8" customHeight="1">
      <c r="A40" s="2" t="inlineStr">
        <is>
          <t>TC-SEL-039</t>
        </is>
      </c>
      <c r="B40" s="23" t="inlineStr">
        <is>
          <t>Admin Approval</t>
        </is>
      </c>
      <c r="C40" s="23" t="inlineStr">
        <is>
          <t>New application appears in the admin's pending list</t>
        </is>
      </c>
      <c r="D40" s="23" t="inlineStr">
        <is>
          <t>Use Case Testing</t>
        </is>
      </c>
      <c r="E40" s="4" t="inlineStr">
        <is>
          <t>High</t>
        </is>
      </c>
      <c r="F40" s="23" t="inlineStr">
        <is>
          <t>The seller account mariaclara.santos@example.com has status Pending Approval. An admin account is logged in.</t>
        </is>
      </c>
      <c r="G40" s="23" t="inlineStr">
        <is>
          <t>1. Open the pending seller applications.
2. Open the application of Maria Clara Handicrafts.
3. Open each uploaded document.</t>
        </is>
      </c>
      <c r="H40" s="23" t="inlineStr">
        <is>
          <t>Applicant: Maria Clara Handicrafts
Email: mariaclara.santos@example.com</t>
        </is>
      </c>
      <c r="I40" s="23" t="inlineStr">
        <is>
          <t>The application is listed as Pending. All details match the Test Data sheet, and each uploaded document opens correctly.</t>
        </is>
      </c>
      <c r="J40" s="4" t="inlineStr">
        <is>
          <t>A12</t>
        </is>
      </c>
      <c r="K40" s="5" t="inlineStr">
        <is>
          <t>Listed under Admin &gt; Approvals with name, mobile, Seller, store name, email, "Email verified" and Approve / Reject buttons. No documents to open.</t>
        </is>
      </c>
      <c r="L40" s="6" t="inlineStr">
        <is>
          <t>Fail</t>
        </is>
      </c>
      <c r="M40" s="5" t="inlineStr">
        <is>
          <t>No uploaded documents, shop or business details to review.</t>
        </is>
      </c>
    </row>
    <row r="41" ht="52.8" customHeight="1">
      <c r="A41" s="2" t="inlineStr">
        <is>
          <t>TC-SEL-040</t>
        </is>
      </c>
      <c r="B41" s="23" t="inlineStr">
        <is>
          <t>Admin Approval</t>
        </is>
      </c>
      <c r="C41" s="23" t="inlineStr">
        <is>
          <t>Admin approves the application</t>
        </is>
      </c>
      <c r="D41" s="23" t="inlineStr">
        <is>
          <t>State Transition</t>
        </is>
      </c>
      <c r="E41" s="4" t="inlineStr">
        <is>
          <t>High</t>
        </is>
      </c>
      <c r="F41" s="23" t="inlineStr">
        <is>
          <t>The application of Maria Clara Handicrafts is Pending Approval. An admin account is logged in.</t>
        </is>
      </c>
      <c r="G41" s="23" t="inlineStr">
        <is>
          <t>1. Open the application.
2. Click Approve and confirm.
3. Log in with the seller account.</t>
        </is>
      </c>
      <c r="H41" s="23" t="inlineStr">
        <is>
          <t>Applicant: Maria Clara Handicrafts
Email: mariaclara.santos@example.com
Password: Tindahan@2026</t>
        </is>
      </c>
      <c r="I41" s="23" t="inlineStr">
        <is>
          <t>Status changes to Approved. An approval email is sent to mariaclara.santos@example.com. On login, the seller dashboard opens.</t>
        </is>
      </c>
      <c r="J41" s="4" t="inlineStr">
        <is>
          <t>A12</t>
        </is>
      </c>
      <c r="K41" s="5" t="inlineStr">
        <is>
          <t>Status changed to Active (approved). The seller dashboard opens on login. No approval email was sent.</t>
        </is>
      </c>
      <c r="L41" s="6" t="inlineStr">
        <is>
          <t>Fail</t>
        </is>
      </c>
      <c r="M41" s="5" t="inlineStr">
        <is>
          <t>No approval email.</t>
        </is>
      </c>
    </row>
    <row r="42" ht="52.8" customHeight="1">
      <c r="A42" s="2" t="inlineStr">
        <is>
          <t>TC-SEL-041</t>
        </is>
      </c>
      <c r="B42" s="23" t="inlineStr">
        <is>
          <t>Admin Approval</t>
        </is>
      </c>
      <c r="C42" s="23" t="inlineStr">
        <is>
          <t>Admin rejects the application with a reason</t>
        </is>
      </c>
      <c r="D42" s="23" t="inlineStr">
        <is>
          <t>State Transition</t>
        </is>
      </c>
      <c r="E42" s="4" t="inlineStr">
        <is>
          <t>High</t>
        </is>
      </c>
      <c r="F42" s="23" t="inlineStr">
        <is>
          <t>A second seller application is Pending Approval (use the Account 2 data). An admin account is logged in.</t>
        </is>
      </c>
      <c r="G42" s="23" t="inlineStr">
        <is>
          <t>1. Open the application.
2. Click Reject, type the reason, and confirm.
3. Log in with the seller account.</t>
        </is>
      </c>
      <c r="H42" s="23" t="inlineStr">
        <is>
          <t>Reason: DTI certificate is blurred and the business name cannot be read.</t>
        </is>
      </c>
      <c r="I42" s="23" t="inlineStr">
        <is>
          <t>Status changes to Rejected. The seller receives an email containing the reason. On login, the reason is shown and the seller dashboard is not available.</t>
        </is>
      </c>
      <c r="J42" s="4" t="inlineStr">
        <is>
          <t>A12</t>
        </is>
      </c>
      <c r="K42" s="5" t="inlineStr">
        <is>
          <t>Status changed to Rejected. There is no reason field and no email. On login: "This seller account is pending approval or has been suspended." The dashboard is not available.</t>
        </is>
      </c>
      <c r="L42" s="6" t="inlineStr">
        <is>
          <t>Fail</t>
        </is>
      </c>
      <c r="M42" s="5" t="inlineStr">
        <is>
          <t>No rejection reason or email; the login message does not say the application was rejected.</t>
        </is>
      </c>
    </row>
    <row r="43" ht="52.8" customHeight="1">
      <c r="A43" s="2" t="inlineStr">
        <is>
          <t>TC-SEL-042</t>
        </is>
      </c>
      <c r="B43" s="23" t="inlineStr">
        <is>
          <t>Admin Approval</t>
        </is>
      </c>
      <c r="C43" s="23" t="inlineStr">
        <is>
          <t>Rejected seller corrects and resubmits</t>
        </is>
      </c>
      <c r="D43" s="23" t="inlineStr">
        <is>
          <t>State Transition</t>
        </is>
      </c>
      <c r="E43" s="4" t="inlineStr">
        <is>
          <t>Medium</t>
        </is>
      </c>
      <c r="F43" s="23" t="inlineStr">
        <is>
          <t>The seller application from the previous case has status Rejected.</t>
        </is>
      </c>
      <c r="G43" s="23" t="inlineStr">
        <is>
          <t>1. Log in with the rejected seller account.
2. Replace the DTI Certificate (or the rejected document).
3. Click Resubmit.</t>
        </is>
      </c>
      <c r="H43" s="23" t="inlineStr">
        <is>
          <t>DTI Certificate (or the rejected document): dti_certificate_clear.pdf (1.0 MB)</t>
        </is>
      </c>
      <c r="I43" s="23" t="inlineStr">
        <is>
          <t>Status returns to Pending Approval and the application appears again in the admin's pending list with the new document.</t>
        </is>
      </c>
      <c r="J43" s="4" t="inlineStr">
        <is>
          <t>A12</t>
        </is>
      </c>
      <c r="K43" s="5" t="inlineStr">
        <is>
          <t>No resubmit option. The rejected seller cannot log in or replace documents.</t>
        </is>
      </c>
      <c r="L43" s="6" t="inlineStr">
        <is>
          <t>Fail</t>
        </is>
      </c>
      <c r="M43" s="5" t="inlineStr">
        <is>
          <t>Resubmission not implemented.</t>
        </is>
      </c>
    </row>
    <row r="44" ht="39.6" customHeight="1">
      <c r="A44" s="2" t="inlineStr">
        <is>
          <t>TC-SEL-043</t>
        </is>
      </c>
      <c r="B44" s="23" t="inlineStr">
        <is>
          <t>Access Control</t>
        </is>
      </c>
      <c r="C44" s="23" t="inlineStr">
        <is>
          <t>Non-admin opens the approval page</t>
        </is>
      </c>
      <c r="D44" s="23" t="inlineStr">
        <is>
          <t>Error Guessing</t>
        </is>
      </c>
      <c r="E44" s="4" t="inlineStr">
        <is>
          <t>High</t>
        </is>
      </c>
      <c r="F44" s="23" t="inlineStr">
        <is>
          <t>The buyer account juanmiguel.delacruz@example.com is logged in.</t>
        </is>
      </c>
      <c r="G44" s="23" t="inlineStr">
        <is>
          <t>1. Paste the address of the admin's seller applications page into the browser.
2. Press Enter.</t>
        </is>
      </c>
      <c r="H44" s="23" t="inlineStr">
        <is>
          <t>Admin page for seller applications (copy the address while logged in as admin)</t>
        </is>
      </c>
      <c r="I44" s="23" t="inlineStr">
        <is>
          <t>Access is denied (error 403 or redirect). No application data is shown and no Approve or Reject action is possible.</t>
        </is>
      </c>
      <c r="J44" s="4" t="inlineStr">
        <is>
          <t>A16</t>
        </is>
      </c>
      <c r="K44" s="5" t="inlineStr">
        <is>
          <t>Error 403. No application data or Approve / Reject actions.</t>
        </is>
      </c>
      <c r="L44" s="6" t="inlineStr">
        <is>
          <t>Pass</t>
        </is>
      </c>
      <c r="M44" s="5" t="n"/>
    </row>
    <row r="45" ht="39.6" customHeight="1">
      <c r="A45" s="2" t="inlineStr">
        <is>
          <t>TC-SEL-044</t>
        </is>
      </c>
      <c r="B45" s="23" t="inlineStr">
        <is>
          <t>Access Control</t>
        </is>
      </c>
      <c r="C45" s="23" t="inlineStr">
        <is>
          <t>Open another role's pages</t>
        </is>
      </c>
      <c r="D45" s="23" t="inlineStr">
        <is>
          <t>Error Guessing</t>
        </is>
      </c>
      <c r="E45" s="4" t="inlineStr">
        <is>
          <t>Medium</t>
        </is>
      </c>
      <c r="F45" s="23" t="inlineStr">
        <is>
          <t>The Approved seller account mariaclara.santos@example.com is logged in.</t>
        </is>
      </c>
      <c r="G45" s="23" t="inlineStr">
        <is>
          <t>1. Paste the address of each dashboard in the test data into the browser, one at a time.</t>
        </is>
      </c>
      <c r="H45" s="23" t="inlineStr">
        <is>
          <t>Admin dashboard
Logistics dashboard
Rider dashboard</t>
        </is>
      </c>
      <c r="I45" s="23" t="inlineStr">
        <is>
          <t>Access is denied each time (error 403 or redirect). No data from the other role is shown.</t>
        </is>
      </c>
      <c r="J45" s="4" t="inlineStr">
        <is>
          <t>A16</t>
        </is>
      </c>
      <c r="K45" s="5" t="inlineStr">
        <is>
          <t>Error 403 for the admin, logistics and rider dashboards.</t>
        </is>
      </c>
      <c r="L45" s="6" t="inlineStr">
        <is>
          <t>Pass</t>
        </is>
      </c>
      <c r="M45" s="5" t="n"/>
    </row>
  </sheetData>
  <autoFilter ref="A1:M45"/>
  <conditionalFormatting sqref="L2:L45">
    <cfRule type="cellIs" priority="2" operator="equal" dxfId="2">
      <formula>"Pass"</formula>
    </cfRule>
    <cfRule type="cellIs" priority="3" operator="equal" dxfId="1">
      <formula>"Fail"</formula>
    </cfRule>
    <cfRule type="cellIs" priority="4" operator="equal" dxfId="0">
      <formula>"Blocked"</formula>
    </cfRule>
  </conditionalFormatting>
  <dataValidations count="1">
    <dataValidation sqref="L2:L45" showDropDown="0" showInputMessage="0" showErrorMessage="0" allowBlank="0" errorTitle="Invalid status" error="Choose Pass, Fail, Blocked or Not Run." type="list">
      <formula1>"Pass,Fail,Blocked,Not Run"</formula1>
    </dataValidation>
  </dataValidations>
  <pageMargins left="0.75" right="0.75" top="1" bottom="1" header="0.511811023622047" footer="0.511811023622047"/>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M4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ColWidth="8.6640625" defaultRowHeight="14.4"/>
  <cols>
    <col width="12"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1" t="inlineStr">
        <is>
          <t>Test Case ID</t>
        </is>
      </c>
      <c r="B1" s="1" t="inlineStr">
        <is>
          <t>Module</t>
        </is>
      </c>
      <c r="C1" s="1" t="inlineStr">
        <is>
          <t>Test Scenario</t>
        </is>
      </c>
      <c r="D1" s="1" t="inlineStr">
        <is>
          <t>Technique</t>
        </is>
      </c>
      <c r="E1" s="1" t="inlineStr">
        <is>
          <t>Priority</t>
        </is>
      </c>
      <c r="F1" s="1" t="inlineStr">
        <is>
          <t>Preconditions</t>
        </is>
      </c>
      <c r="G1" s="1" t="inlineStr">
        <is>
          <t>Test Steps</t>
        </is>
      </c>
      <c r="H1" s="1" t="inlineStr">
        <is>
          <t>Test Data</t>
        </is>
      </c>
      <c r="I1" s="1" t="inlineStr">
        <is>
          <t>Expected Result</t>
        </is>
      </c>
      <c r="J1" s="1" t="inlineStr">
        <is>
          <t>Assumption Ref</t>
        </is>
      </c>
      <c r="K1" s="1" t="inlineStr">
        <is>
          <t>Actual Result</t>
        </is>
      </c>
      <c r="L1" s="1" t="inlineStr">
        <is>
          <t>Status</t>
        </is>
      </c>
      <c r="M1" s="1" t="inlineStr">
        <is>
          <t>Remarks</t>
        </is>
      </c>
    </row>
    <row r="2" ht="409.2" customHeight="1">
      <c r="A2" s="2" t="inlineStr">
        <is>
          <t>TC-LOG-001</t>
        </is>
      </c>
      <c r="B2" s="23" t="inlineStr">
        <is>
          <t>Registration Form</t>
        </is>
      </c>
      <c r="C2" s="23" t="inlineStr">
        <is>
          <t>Register with all valid data</t>
        </is>
      </c>
      <c r="D2" s="23" t="inlineStr">
        <is>
          <t>Use Case Testing</t>
        </is>
      </c>
      <c r="E2" s="4" t="inlineStr">
        <is>
          <t>High</t>
        </is>
      </c>
      <c r="F2" s="23" t="inlineStr">
        <is>
          <t>The logistics registration page is open. The email, mobile number and other unique values in the test data are not yet registered.</t>
        </is>
      </c>
      <c r="G2" s="23" t="inlineStr">
        <is>
          <t>1. Fill in every field with the test data.
2. Click Register.</t>
        </is>
      </c>
      <c r="H2" s="23" t="inlineStr">
        <is>
          <t>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is>
      </c>
      <c r="I2" s="23" t="inlineStr">
        <is>
          <t>The form is accepted with no validation errors. A success message is shown, a 6-digit OTP is sent to the email, and the email verification page opens. The account is saved with status Unverified.</t>
        </is>
      </c>
      <c r="J2" s="4" t="inlineStr">
        <is>
          <t>A1, A9, A12</t>
        </is>
      </c>
      <c r="K2" s="5" t="inlineStr">
        <is>
          <t>Account created from the fields the form has (company name, service area, contact name, mobile, email, password). The verification page opened, a 6-digit code was emailed, and the account and company are Pending.</t>
        </is>
      </c>
      <c r="L2" s="6" t="inlineStr">
        <is>
          <t>Fail</t>
        </is>
      </c>
      <c r="M2" s="5" t="inlineStr">
        <is>
          <t>SEC Registration No., TIN, address fields, Position, document uploads and Terms are not on the logistics registration form.</t>
        </is>
      </c>
    </row>
    <row r="3" ht="39.6" customHeight="1">
      <c r="A3" s="2" t="inlineStr">
        <is>
          <t>TC-LOG-002</t>
        </is>
      </c>
      <c r="B3" s="23" t="inlineStr">
        <is>
          <t>Required Fields</t>
        </is>
      </c>
      <c r="C3" s="23" t="inlineStr">
        <is>
          <t>Submit a completely empty form</t>
        </is>
      </c>
      <c r="D3" s="23" t="inlineStr">
        <is>
          <t>Equivalence Partitioning</t>
        </is>
      </c>
      <c r="E3" s="4" t="inlineStr">
        <is>
          <t>High</t>
        </is>
      </c>
      <c r="F3" s="23" t="inlineStr">
        <is>
          <t>The logistics registration page is open.</t>
        </is>
      </c>
      <c r="G3" s="23" t="inlineStr">
        <is>
          <t>1. Leave every field blank and every dropdown on its default option.
2. Click Register.</t>
        </is>
      </c>
      <c r="H3" s="23" t="inlineStr">
        <is>
          <t>All fields blank</t>
        </is>
      </c>
      <c r="I3" s="23" t="inlineStr">
        <is>
          <t>Registration is blocked. A required-field message is shown for every mandatory field. No account is created and no OTP is sent.</t>
        </is>
      </c>
      <c r="J3" s="4" t="inlineStr">
        <is>
          <t>A1</t>
        </is>
      </c>
      <c r="K3" s="5" t="inlineStr">
        <is>
          <t>Blocked. Required messages for Company Name, First Name, Last Name, Mobile Number, Email and Password. No account created.</t>
        </is>
      </c>
      <c r="L3" s="6" t="inlineStr">
        <is>
          <t>Pass</t>
        </is>
      </c>
      <c r="M3" s="5" t="inlineStr">
        <is>
          <t>Covers the fields on the form. SEC Registration No., TIN, address fields, Position, document uploads and Terms are not on the logistics registration form.</t>
        </is>
      </c>
    </row>
    <row r="4" ht="303.6" customHeight="1">
      <c r="A4" s="2" t="inlineStr">
        <is>
          <t>TC-LOG-003</t>
        </is>
      </c>
      <c r="B4" s="23" t="inlineStr">
        <is>
          <t>Required Fields</t>
        </is>
      </c>
      <c r="C4" s="23" t="inlineStr">
        <is>
          <t>Leave one required field blank at a time</t>
        </is>
      </c>
      <c r="D4" s="23" t="inlineStr">
        <is>
          <t>Equivalence Partitioning</t>
        </is>
      </c>
      <c r="E4" s="4" t="inlineStr">
        <is>
          <t>High</t>
        </is>
      </c>
      <c r="F4" s="23" t="inlineStr">
        <is>
          <t>The logistics registration page is open.</t>
        </is>
      </c>
      <c r="G4" s="23" t="inlineStr">
        <is>
          <t>1. Fill in all fields with valid data.
2. Clear one required field.
3. Click Register.
4. Repeat for each field in the test data.</t>
        </is>
      </c>
      <c r="H4" s="23" t="inlineStr">
        <is>
          <t>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is>
      </c>
      <c r="I4" s="23" t="inlineStr">
        <is>
          <t>Each time, registration is blocked and a required-field message is shown on the blank field only. Other entered values (except passwords and uploads) are kept. No account is created.</t>
        </is>
      </c>
      <c r="J4" s="4" t="inlineStr">
        <is>
          <t>A1</t>
        </is>
      </c>
      <c r="K4" s="5" t="inlineStr">
        <is>
          <t>Company Name, names, Email, Mobile and Password were each blocked with a message for that field only. A blank Service Area was accepted and the account created.</t>
        </is>
      </c>
      <c r="L4" s="6" t="inlineStr">
        <is>
          <t>Fail</t>
        </is>
      </c>
      <c r="M4" s="5" t="inlineStr">
        <is>
          <t>Service Area is optional. The remaining fields in the test data are not on the form (TC-LOG-001).</t>
        </is>
      </c>
    </row>
    <row r="5" ht="39.6" customHeight="1">
      <c r="A5" s="2" t="inlineStr">
        <is>
          <t>TC-LOG-004</t>
        </is>
      </c>
      <c r="B5" s="23" t="inlineStr">
        <is>
          <t>Name</t>
        </is>
      </c>
      <c r="C5" s="23" t="inlineStr">
        <is>
          <t>Name with numbers or symbols</t>
        </is>
      </c>
      <c r="D5" s="23" t="inlineStr">
        <is>
          <t>Equivalence Partitioning</t>
        </is>
      </c>
      <c r="E5" s="4" t="inlineStr">
        <is>
          <t>Medium</t>
        </is>
      </c>
      <c r="F5" s="23" t="inlineStr">
        <is>
          <t>The logistics registration page is open.</t>
        </is>
      </c>
      <c r="G5" s="23" t="inlineStr">
        <is>
          <t>1. Fill in all other fields with valid data.
2. Enter the test data in the name fields.
3. Click Register.</t>
        </is>
      </c>
      <c r="H5" s="23" t="inlineStr">
        <is>
          <t>First Name: Carlos Antonio7
Last Name: Dela Cruz@#</t>
        </is>
      </c>
      <c r="I5" s="23" t="inlineStr">
        <is>
          <t>Registration is blocked. A message on each name field says only letters are allowed.</t>
        </is>
      </c>
      <c r="J5" s="4" t="inlineStr">
        <is>
          <t>A2</t>
        </is>
      </c>
      <c r="K5" s="5" t="inlineStr">
        <is>
          <t>The browser removes digits and symbols; the server rejects both name fields with the letters-only message.</t>
        </is>
      </c>
      <c r="L5" s="6" t="inlineStr">
        <is>
          <t>Pass</t>
        </is>
      </c>
      <c r="M5" s="5" t="n"/>
    </row>
    <row r="6" ht="52.8" customHeight="1">
      <c r="A6" s="2" t="inlineStr">
        <is>
          <t>TC-LOG-005</t>
        </is>
      </c>
      <c r="B6" s="23" t="inlineStr">
        <is>
          <t>Name</t>
        </is>
      </c>
      <c r="C6" s="23" t="inlineStr">
        <is>
          <t>Name with ñ and allowed punctuation</t>
        </is>
      </c>
      <c r="D6" s="23" t="inlineStr">
        <is>
          <t>Equivalence Partitioning</t>
        </is>
      </c>
      <c r="E6" s="4" t="inlineStr">
        <is>
          <t>Low</t>
        </is>
      </c>
      <c r="F6" s="23" t="inlineStr">
        <is>
          <t>The logistics registration page is open. The email, mobile number and other unique values in the test data are not yet registered.</t>
        </is>
      </c>
      <c r="G6" s="23" t="inlineStr">
        <is>
          <t>1. Fill in all other fields with valid data.
2. Enter the test data in the name fields.
3. Click Register.</t>
        </is>
      </c>
      <c r="H6" s="23" t="inlineStr">
        <is>
          <t>First Name: Iñigo Rafael
Last Name: Muñoz-D'Angelo</t>
        </is>
      </c>
      <c r="I6" s="23" t="inlineStr">
        <is>
          <t>The names are accepted and saved exactly as typed, including ñ.</t>
        </is>
      </c>
      <c r="J6" s="4" t="inlineStr">
        <is>
          <t>A2</t>
        </is>
      </c>
      <c r="K6" s="5" t="inlineStr">
        <is>
          <t>Accepted. Saved exactly as "Iñigo Rafael Muñoz-D'Angelo".</t>
        </is>
      </c>
      <c r="L6" s="6" t="inlineStr">
        <is>
          <t>Pass</t>
        </is>
      </c>
      <c r="M6" s="5" t="n"/>
    </row>
    <row r="7" ht="79.2" customHeight="1">
      <c r="A7" s="2" t="inlineStr">
        <is>
          <t>TC-LOG-006</t>
        </is>
      </c>
      <c r="B7" s="23" t="inlineStr">
        <is>
          <t>Name</t>
        </is>
      </c>
      <c r="C7" s="23" t="inlineStr">
        <is>
          <t>Name length at the limits</t>
        </is>
      </c>
      <c r="D7" s="23" t="inlineStr">
        <is>
          <t>Boundary Value Analysis</t>
        </is>
      </c>
      <c r="E7" s="4" t="inlineStr">
        <is>
          <t>Medium</t>
        </is>
      </c>
      <c r="F7" s="23" t="inlineStr">
        <is>
          <t>The logistics registration page is open. The email, mobile number and other unique values in the test data are not yet registered.</t>
        </is>
      </c>
      <c r="G7" s="23" t="inlineStr">
        <is>
          <t>1. Fill in all other fields with valid data.
2. Enter each first name in the test data, one per attempt.
3. Click Register.</t>
        </is>
      </c>
      <c r="H7" s="23" t="inlineStr">
        <is>
          <t>1 character: C (reject)
2 characters: Co (accept)
50 characters: Maria Cristina Angelica Bernadette Josefina Leonor (accept)
51 characters: Maria Cristina Angelica Bernadette Josefina Leonora (reject)</t>
        </is>
      </c>
      <c r="I7" s="23" t="inlineStr">
        <is>
          <t>1 and 51 characters are rejected with a length message. 2 and 50 characters are accepted.</t>
        </is>
      </c>
      <c r="J7" s="4" t="inlineStr">
        <is>
          <t>A2</t>
        </is>
      </c>
      <c r="K7" s="5" t="inlineStr">
        <is>
          <t>All four names accepted, including 1 and 51 characters.</t>
        </is>
      </c>
      <c r="L7" s="6" t="inlineStr">
        <is>
          <t>Fail</t>
        </is>
      </c>
      <c r="M7" s="5" t="inlineStr">
        <is>
          <t>Names allow 1 to 100 characters.</t>
        </is>
      </c>
    </row>
    <row r="8" ht="105.6" customHeight="1">
      <c r="A8" s="2" t="inlineStr">
        <is>
          <t>TC-LOG-007</t>
        </is>
      </c>
      <c r="B8" s="23" t="inlineStr">
        <is>
          <t>Email</t>
        </is>
      </c>
      <c r="C8" s="23" t="inlineStr">
        <is>
          <t>Email in an invalid format</t>
        </is>
      </c>
      <c r="D8" s="23" t="inlineStr">
        <is>
          <t>Equivalence Partitioning</t>
        </is>
      </c>
      <c r="E8" s="4" t="inlineStr">
        <is>
          <t>High</t>
        </is>
      </c>
      <c r="F8" s="23" t="inlineStr">
        <is>
          <t>The logistics registration page is open.</t>
        </is>
      </c>
      <c r="G8" s="23" t="inlineStr">
        <is>
          <t>1. Fill in all other fields with valid data.
2. Enter each email in the test data, one per attempt.
3. Click Register.</t>
        </is>
      </c>
      <c r="H8" s="23" t="inlineStr">
        <is>
          <t>operations.bilishatidexample.com (no @)
operations.bilishatid@ (no domain)
@example.com (no name)
operations.bilishatid@example (no .com)
operations bilishatid@example.com (space)</t>
        </is>
      </c>
      <c r="I8" s="23" t="inlineStr">
        <is>
          <t>Each value is rejected with a message asking for a valid email address. No account is created.</t>
        </is>
      </c>
      <c r="J8" s="4" t="inlineStr">
        <is>
          <t>A3</t>
        </is>
      </c>
      <c r="K8" s="5" t="inlineStr">
        <is>
          <t>Four of five rejected. "operations.bilishatid@example" (no .com) was accepted.</t>
        </is>
      </c>
      <c r="L8" s="6" t="inlineStr">
        <is>
          <t>Fail</t>
        </is>
      </c>
      <c r="M8" s="5" t="inlineStr">
        <is>
          <t>Emails without a domain extension are accepted.</t>
        </is>
      </c>
    </row>
    <row r="9" ht="66" customHeight="1">
      <c r="A9" s="2" t="inlineStr">
        <is>
          <t>TC-LOG-008</t>
        </is>
      </c>
      <c r="B9" s="23" t="inlineStr">
        <is>
          <t>Email</t>
        </is>
      </c>
      <c r="C9" s="23" t="inlineStr">
        <is>
          <t>Email that is already registered</t>
        </is>
      </c>
      <c r="D9" s="23" t="inlineStr">
        <is>
          <t>Equivalence Partitioning</t>
        </is>
      </c>
      <c r="E9" s="4" t="inlineStr">
        <is>
          <t>High</t>
        </is>
      </c>
      <c r="F9" s="23" t="inlineStr">
        <is>
          <t>The logistics registration page is open. The logistics account operations@bilishatid.example.com (Bilis Hatid Express Inc.) already exists.</t>
        </is>
      </c>
      <c r="G9" s="23" t="inlineStr">
        <is>
          <t>1. Fill in all other fields with valid data.
2. Enter the existing email.
3. Click Register.</t>
        </is>
      </c>
      <c r="H9" s="23" t="inlineStr">
        <is>
          <t>Email: operations@bilishatid.example.com</t>
        </is>
      </c>
      <c r="I9" s="23" t="inlineStr">
        <is>
          <t>Registration is blocked. A message says the email is already in use. No account is created.</t>
        </is>
      </c>
      <c r="J9" s="4" t="inlineStr">
        <is>
          <t>A3</t>
        </is>
      </c>
      <c r="K9" s="5" t="inlineStr">
        <is>
          <t>Blocked with "The email has already been taken."</t>
        </is>
      </c>
      <c r="L9" s="6" t="inlineStr">
        <is>
          <t>Pass</t>
        </is>
      </c>
      <c r="M9" s="5" t="n"/>
    </row>
    <row r="10" ht="66" customHeight="1">
      <c r="A10" s="2" t="inlineStr">
        <is>
          <t>TC-LOG-009</t>
        </is>
      </c>
      <c r="B10" s="23" t="inlineStr">
        <is>
          <t>Email</t>
        </is>
      </c>
      <c r="C10" s="23" t="inlineStr">
        <is>
          <t>Registered email typed in capital letters</t>
        </is>
      </c>
      <c r="D10" s="23" t="inlineStr">
        <is>
          <t>Error Guessing</t>
        </is>
      </c>
      <c r="E10" s="4" t="inlineStr">
        <is>
          <t>Medium</t>
        </is>
      </c>
      <c r="F10" s="23" t="inlineStr">
        <is>
          <t>The logistics registration page is open. The logistics account operations@bilishatid.example.com (Bilis Hatid Express Inc.) already exists.</t>
        </is>
      </c>
      <c r="G10" s="23" t="inlineStr">
        <is>
          <t>1. Fill in all other fields with valid data.
2. Enter the same email in capital letters.
3. Click Register.</t>
        </is>
      </c>
      <c r="H10" s="23" t="inlineStr">
        <is>
          <t>Email: OPERATIONS@BILISHATID.EXAMPLE.COM</t>
        </is>
      </c>
      <c r="I10" s="23" t="inlineStr">
        <is>
          <t>The email is treated as a duplicate. Registration is blocked.</t>
        </is>
      </c>
      <c r="J10" s="4" t="inlineStr">
        <is>
          <t>A3</t>
        </is>
      </c>
      <c r="K10" s="5" t="inlineStr">
        <is>
          <t>Blocked with "The email has already been taken."</t>
        </is>
      </c>
      <c r="L10" s="6" t="inlineStr">
        <is>
          <t>Pass</t>
        </is>
      </c>
      <c r="M10" s="5" t="n"/>
    </row>
    <row r="11" ht="52.8" customHeight="1">
      <c r="A11" s="2" t="inlineStr">
        <is>
          <t>TC-LOG-010</t>
        </is>
      </c>
      <c r="B11" s="23" t="inlineStr">
        <is>
          <t>Email</t>
        </is>
      </c>
      <c r="C11" s="23" t="inlineStr">
        <is>
          <t>Email with spaces before and after</t>
        </is>
      </c>
      <c r="D11" s="23" t="inlineStr">
        <is>
          <t>Error Guessing</t>
        </is>
      </c>
      <c r="E11" s="4" t="inlineStr">
        <is>
          <t>Low</t>
        </is>
      </c>
      <c r="F11" s="23" t="inlineStr">
        <is>
          <t>The logistics registration page is open. The email, mobile number and other unique values in the test data are not yet registered.</t>
        </is>
      </c>
      <c r="G11" s="23" t="inlineStr">
        <is>
          <t>1. Fill in all other fields with valid data.
2. Type two spaces before and after the email.
3. Click Register.</t>
        </is>
      </c>
      <c r="H11" s="23" t="inlineStr">
        <is>
          <t>Email: "  logistics.test01@example.com  "</t>
        </is>
      </c>
      <c r="I11" s="23" t="inlineStr">
        <is>
          <t>The spaces are removed and the email is saved as logistics.test01@example.com.</t>
        </is>
      </c>
      <c r="J11" s="4" t="inlineStr">
        <is>
          <t>A3</t>
        </is>
      </c>
      <c r="K11" s="5" t="inlineStr">
        <is>
          <t>Accepted and saved as logistics.space01@example.com with the spaces removed.</t>
        </is>
      </c>
      <c r="L11" s="6" t="inlineStr">
        <is>
          <t>Pass</t>
        </is>
      </c>
      <c r="M11" s="5" t="n"/>
    </row>
    <row r="12" ht="52.8" customHeight="1">
      <c r="A12" s="2" t="inlineStr">
        <is>
          <t>TC-LOG-011</t>
        </is>
      </c>
      <c r="B12" s="23" t="inlineStr">
        <is>
          <t>Mobile Number</t>
        </is>
      </c>
      <c r="C12" s="23" t="inlineStr">
        <is>
          <t>Mobile number in an invalid format</t>
        </is>
      </c>
      <c r="D12" s="23" t="inlineStr">
        <is>
          <t>Equivalence Partitioning</t>
        </is>
      </c>
      <c r="E12" s="4" t="inlineStr">
        <is>
          <t>High</t>
        </is>
      </c>
      <c r="F12" s="23" t="inlineStr">
        <is>
          <t>The logistics registration page is open.</t>
        </is>
      </c>
      <c r="G12" s="23" t="inlineStr">
        <is>
          <t>1. Fill in all other fields with valid data.
2. Enter each mobile number in the test data, one per attempt.
3. Click Register.</t>
        </is>
      </c>
      <c r="H12" s="23" t="inlineStr">
        <is>
          <t>0917ABC4567 (letters)
0917-123-456 (symbols, too short)
12345678901 (does not start with 09)
02-8123-4567 (landline)</t>
        </is>
      </c>
      <c r="I12" s="23" t="inlineStr">
        <is>
          <t>Each value is rejected with a message asking for a valid mobile number.</t>
        </is>
      </c>
      <c r="J12" s="4" t="inlineStr">
        <is>
          <t>A4</t>
        </is>
      </c>
      <c r="K12" s="5" t="inlineStr">
        <is>
          <t>Each value rejected with the 11-digit 09 message.</t>
        </is>
      </c>
      <c r="L12" s="6" t="inlineStr">
        <is>
          <t>Pass</t>
        </is>
      </c>
      <c r="M12" s="5" t="n"/>
    </row>
    <row r="13" ht="52.8" customHeight="1">
      <c r="A13" s="2" t="inlineStr">
        <is>
          <t>TC-LOG-012</t>
        </is>
      </c>
      <c r="B13" s="23" t="inlineStr">
        <is>
          <t>Mobile Number</t>
        </is>
      </c>
      <c r="C13" s="23" t="inlineStr">
        <is>
          <t>Mobile number length at the limits</t>
        </is>
      </c>
      <c r="D13" s="23" t="inlineStr">
        <is>
          <t>Boundary Value Analysis</t>
        </is>
      </c>
      <c r="E13" s="4" t="inlineStr">
        <is>
          <t>High</t>
        </is>
      </c>
      <c r="F13" s="23" t="inlineStr">
        <is>
          <t>The logistics registration page is open. The email, mobile number and other unique values in the test data are not yet registered.</t>
        </is>
      </c>
      <c r="G13" s="23" t="inlineStr">
        <is>
          <t>1. Fill in all other fields with valid data.
2. Enter each mobile number in the test data, one per attempt.
3. Click Register.</t>
        </is>
      </c>
      <c r="H13" s="23" t="inlineStr">
        <is>
          <t>10 digits: 0917123456 (reject)
11 digits: 09170000001 (accept)
12 digits: 091712345678 (reject)</t>
        </is>
      </c>
      <c r="I13" s="23" t="inlineStr">
        <is>
          <t>10 and 12 digits are rejected with a length message. 11 digits is accepted.</t>
        </is>
      </c>
      <c r="J13" s="4" t="inlineStr">
        <is>
          <t>A4</t>
        </is>
      </c>
      <c r="K13" s="5" t="inlineStr">
        <is>
          <t>10 digits rejected, 11 accepted, 12 cannot be typed and is rejected by the server.</t>
        </is>
      </c>
      <c r="L13" s="6" t="inlineStr">
        <is>
          <t>Pass</t>
        </is>
      </c>
      <c r="M13" s="5" t="n"/>
    </row>
    <row r="14" ht="39.6" customHeight="1">
      <c r="A14" s="2" t="inlineStr">
        <is>
          <t>TC-LOG-013</t>
        </is>
      </c>
      <c r="B14" s="23" t="inlineStr">
        <is>
          <t>Mobile Number</t>
        </is>
      </c>
      <c r="C14" s="23" t="inlineStr">
        <is>
          <t>Mobile number that is already registered</t>
        </is>
      </c>
      <c r="D14" s="23" t="inlineStr">
        <is>
          <t>Equivalence Partitioning</t>
        </is>
      </c>
      <c r="E14" s="4" t="inlineStr">
        <is>
          <t>Medium</t>
        </is>
      </c>
      <c r="F14" s="23" t="inlineStr">
        <is>
          <t>The logistics registration page is open. An account already exists with mobile number 09285551234.</t>
        </is>
      </c>
      <c r="G14" s="23" t="inlineStr">
        <is>
          <t>1. Fill in all other fields with valid data.
2. Enter the existing mobile number.
3. Click Register.</t>
        </is>
      </c>
      <c r="H14" s="23" t="inlineStr">
        <is>
          <t>Mobile: 09285551234</t>
        </is>
      </c>
      <c r="I14" s="23" t="inlineStr">
        <is>
          <t>Registration is blocked. A message says the mobile number is already in use.</t>
        </is>
      </c>
      <c r="J14" s="4" t="inlineStr">
        <is>
          <t>A4</t>
        </is>
      </c>
      <c r="K14" s="5" t="inlineStr">
        <is>
          <t>Accepted. Another account was created with 09285551234.</t>
        </is>
      </c>
      <c r="L14" s="6" t="inlineStr">
        <is>
          <t>Fail</t>
        </is>
      </c>
      <c r="M14" s="5" t="inlineStr">
        <is>
          <t>Mobile numbers are not checked for duplicates.</t>
        </is>
      </c>
    </row>
    <row r="15" ht="39.6" customHeight="1">
      <c r="A15" s="2" t="inlineStr">
        <is>
          <t>TC-LOG-014</t>
        </is>
      </c>
      <c r="B15" s="23" t="inlineStr">
        <is>
          <t>Mobile Number</t>
        </is>
      </c>
      <c r="C15" s="23" t="inlineStr">
        <is>
          <t>Registered number entered in +63 format</t>
        </is>
      </c>
      <c r="D15" s="23" t="inlineStr">
        <is>
          <t>Error Guessing</t>
        </is>
      </c>
      <c r="E15" s="4" t="inlineStr">
        <is>
          <t>Medium</t>
        </is>
      </c>
      <c r="F15" s="23" t="inlineStr">
        <is>
          <t>The logistics registration page is open. An account already exists with mobile number 09285551234.</t>
        </is>
      </c>
      <c r="G15" s="23" t="inlineStr">
        <is>
          <t>1. Fill in all other fields with valid data.
2. Enter the same number in +63 format.
3. Click Register.</t>
        </is>
      </c>
      <c r="H15" s="23" t="inlineStr">
        <is>
          <t>Mobile: +639285551234</t>
        </is>
      </c>
      <c r="I15" s="23" t="inlineStr">
        <is>
          <t>The +63 format is recognised as the same number. Registration is blocked. A message says the mobile number is already in use.</t>
        </is>
      </c>
      <c r="J15" s="4" t="inlineStr">
        <is>
          <t>A4</t>
        </is>
      </c>
      <c r="K15" s="5" t="inlineStr">
        <is>
          <t>Rejected as an invalid format, not recognised as the same number.</t>
        </is>
      </c>
      <c r="L15" s="6" t="inlineStr">
        <is>
          <t>Fail</t>
        </is>
      </c>
      <c r="M15" s="5" t="inlineStr">
        <is>
          <t>+63 numbers are not supported.</t>
        </is>
      </c>
    </row>
    <row r="16" ht="52.8" customHeight="1">
      <c r="A16" s="2" t="inlineStr">
        <is>
          <t>TC-LOG-015</t>
        </is>
      </c>
      <c r="B16" s="23" t="inlineStr">
        <is>
          <t>Password</t>
        </is>
      </c>
      <c r="C16" s="23" t="inlineStr">
        <is>
          <t>Password length at the limit</t>
        </is>
      </c>
      <c r="D16" s="23" t="inlineStr">
        <is>
          <t>Boundary Value Analysis</t>
        </is>
      </c>
      <c r="E16" s="4" t="inlineStr">
        <is>
          <t>High</t>
        </is>
      </c>
      <c r="F16" s="23" t="inlineStr">
        <is>
          <t>The logistics registration page is open. The email, mobile number and other unique values in the test data are not yet registered.</t>
        </is>
      </c>
      <c r="G16" s="23" t="inlineStr">
        <is>
          <t>1. Fill in all other fields with valid data.
2. Enter each password in both password fields, one per attempt.
3. Click Register.</t>
        </is>
      </c>
      <c r="H16" s="23" t="inlineStr">
        <is>
          <t>7 characters: Hati@26 (reject)
8 characters: Hatid@26 (accept)</t>
        </is>
      </c>
      <c r="I16" s="23" t="inlineStr">
        <is>
          <t>7 characters is rejected with a minimum-length message. 8 characters is accepted.</t>
        </is>
      </c>
      <c r="J16" s="4" t="inlineStr">
        <is>
          <t>A5</t>
        </is>
      </c>
      <c r="K16" s="5" t="inlineStr">
        <is>
          <t>7 characters rejected; 8 characters accepted.</t>
        </is>
      </c>
      <c r="L16" s="6" t="inlineStr">
        <is>
          <t>Pass</t>
        </is>
      </c>
      <c r="M16" s="5" t="n"/>
    </row>
    <row r="17" ht="52.8" customHeight="1">
      <c r="A17" s="2" t="inlineStr">
        <is>
          <t>TC-LOG-016</t>
        </is>
      </c>
      <c r="B17" s="23" t="inlineStr">
        <is>
          <t>Password</t>
        </is>
      </c>
      <c r="C17" s="23" t="inlineStr">
        <is>
          <t>Password missing a required character type</t>
        </is>
      </c>
      <c r="D17" s="23" t="inlineStr">
        <is>
          <t>Decision Table</t>
        </is>
      </c>
      <c r="E17" s="4" t="inlineStr">
        <is>
          <t>High</t>
        </is>
      </c>
      <c r="F17" s="23" t="inlineStr">
        <is>
          <t>The logistics registration page is open.</t>
        </is>
      </c>
      <c r="G17" s="23" t="inlineStr">
        <is>
          <t>1. Fill in all other fields with valid data.
2. Enter each password in both password fields, one per attempt.
3. Click Register.</t>
        </is>
      </c>
      <c r="H17" s="23" t="inlineStr">
        <is>
          <t>No uppercase: hatid@2026
No lowercase: HATID@2026
No number: Hatid@abcd
No special character: Hatid2026</t>
        </is>
      </c>
      <c r="I17" s="23" t="inlineStr">
        <is>
          <t>Each password is rejected with a message stating the password rule. No account is created.</t>
        </is>
      </c>
      <c r="J17" s="4" t="inlineStr">
        <is>
          <t>A5</t>
        </is>
      </c>
      <c r="K17" s="5" t="inlineStr">
        <is>
          <t>No uppercase, no lowercase and no special character rejected. No number ("Hatid@abcd") accepted.</t>
        </is>
      </c>
      <c r="L17" s="6" t="inlineStr">
        <is>
          <t>Fail</t>
        </is>
      </c>
      <c r="M17" s="5" t="inlineStr">
        <is>
          <t>The password rule does not require a number.</t>
        </is>
      </c>
    </row>
    <row r="18" ht="52.8" customHeight="1">
      <c r="A18" s="2" t="inlineStr">
        <is>
          <t>TC-LOG-017</t>
        </is>
      </c>
      <c r="B18" s="23" t="inlineStr">
        <is>
          <t>Password</t>
        </is>
      </c>
      <c r="C18" s="23" t="inlineStr">
        <is>
          <t>Confirm Password does not match</t>
        </is>
      </c>
      <c r="D18" s="23" t="inlineStr">
        <is>
          <t>Equivalence Partitioning</t>
        </is>
      </c>
      <c r="E18" s="4" t="inlineStr">
        <is>
          <t>High</t>
        </is>
      </c>
      <c r="F18" s="23" t="inlineStr">
        <is>
          <t>The logistics registration page is open.</t>
        </is>
      </c>
      <c r="G18" s="23" t="inlineStr">
        <is>
          <t>1. Fill in all other fields with valid data.
2. Enter the test data in Password and Confirm Password.
3. Click Register.</t>
        </is>
      </c>
      <c r="H18" s="23" t="inlineStr">
        <is>
          <t>Password: Hatid@2026
Confirm Password: Hatid@2027</t>
        </is>
      </c>
      <c r="I18" s="23" t="inlineStr">
        <is>
          <t>Registration is blocked. A message says the passwords do not match.</t>
        </is>
      </c>
      <c r="J18" s="4" t="inlineStr">
        <is>
          <t>A5</t>
        </is>
      </c>
      <c r="K18" s="5" t="inlineStr">
        <is>
          <t>Blocked with "The password field confirmation does not match."</t>
        </is>
      </c>
      <c r="L18" s="6" t="inlineStr">
        <is>
          <t>Pass</t>
        </is>
      </c>
      <c r="M18" s="5" t="n"/>
    </row>
    <row r="19" ht="39.6" customHeight="1">
      <c r="A19" s="2" t="inlineStr">
        <is>
          <t>TC-LOG-018</t>
        </is>
      </c>
      <c r="B19" s="23" t="inlineStr">
        <is>
          <t>Password</t>
        </is>
      </c>
      <c r="C19" s="23" t="inlineStr">
        <is>
          <t>Password is hidden while typing</t>
        </is>
      </c>
      <c r="D19" s="23" t="inlineStr">
        <is>
          <t>Error Guessing</t>
        </is>
      </c>
      <c r="E19" s="4" t="inlineStr">
        <is>
          <t>Low</t>
        </is>
      </c>
      <c r="F19" s="23" t="inlineStr">
        <is>
          <t>The logistics registration page is open.</t>
        </is>
      </c>
      <c r="G19" s="23" t="inlineStr">
        <is>
          <t>1. Type the password.
2. If a show/hide icon is provided, click it twice.</t>
        </is>
      </c>
      <c r="H19" s="23" t="inlineStr">
        <is>
          <t>Password: Hatid@2026</t>
        </is>
      </c>
      <c r="I19" s="23" t="inlineStr">
        <is>
          <t>Characters are hidden as dots by default. The icon reveals the password, then hides it again.</t>
        </is>
      </c>
      <c r="J19" s="4" t="inlineStr">
        <is>
          <t>A5</t>
        </is>
      </c>
      <c r="K19" s="5" t="inlineStr">
        <is>
          <t>Hidden by default; Show password reveals it and hides it again.</t>
        </is>
      </c>
      <c r="L19" s="6" t="inlineStr">
        <is>
          <t>Pass</t>
        </is>
      </c>
      <c r="M19" s="5" t="n"/>
    </row>
    <row r="20" ht="52.8" customHeight="1">
      <c r="A20" s="2" t="inlineStr">
        <is>
          <t>TC-LOG-019</t>
        </is>
      </c>
      <c r="B20" s="23" t="inlineStr">
        <is>
          <t>Terms and Privacy Policy</t>
        </is>
      </c>
      <c r="C20" s="23" t="inlineStr">
        <is>
          <t>Register without accepting the terms</t>
        </is>
      </c>
      <c r="D20" s="23" t="inlineStr">
        <is>
          <t>Equivalence Partitioning</t>
        </is>
      </c>
      <c r="E20" s="4" t="inlineStr">
        <is>
          <t>Medium</t>
        </is>
      </c>
      <c r="F20" s="23" t="inlineStr">
        <is>
          <t>The logistics registration page is open.</t>
        </is>
      </c>
      <c r="G20" s="23" t="inlineStr">
        <is>
          <t>1. Fill in all fields with valid data.
2. Leave the Terms and Privacy Policy checkbox unticked.
3. Click Register.</t>
        </is>
      </c>
      <c r="H20" s="23" t="inlineStr">
        <is>
          <t>Terms and Privacy Policy: unticked</t>
        </is>
      </c>
      <c r="I20" s="23" t="inlineStr">
        <is>
          <t>Registration is blocked. A message says the Terms and Privacy Policy must be accepted.</t>
        </is>
      </c>
      <c r="J20" s="4" t="inlineStr">
        <is>
          <t>A1</t>
        </is>
      </c>
      <c r="K20" s="5" t="inlineStr">
        <is>
          <t>No Terms checkbox. Registration completes without it.</t>
        </is>
      </c>
      <c r="L20" s="6" t="inlineStr">
        <is>
          <t>Fail</t>
        </is>
      </c>
      <c r="M20" s="5" t="inlineStr">
        <is>
          <t>Terms checkbox not implemented.</t>
        </is>
      </c>
    </row>
    <row r="21" ht="52.8" customHeight="1">
      <c r="A21" s="2" t="inlineStr">
        <is>
          <t>TC-LOG-020</t>
        </is>
      </c>
      <c r="B21" s="23" t="inlineStr">
        <is>
          <t>Registration Form</t>
        </is>
      </c>
      <c r="C21" s="23" t="inlineStr">
        <is>
          <t>Click Register several times quickly</t>
        </is>
      </c>
      <c r="D21" s="23" t="inlineStr">
        <is>
          <t>Error Guessing</t>
        </is>
      </c>
      <c r="E21" s="4" t="inlineStr">
        <is>
          <t>Medium</t>
        </is>
      </c>
      <c r="F21" s="23" t="inlineStr">
        <is>
          <t>The logistics registration page is open. The email, mobile number and other unique values in the test data are not yet registered.</t>
        </is>
      </c>
      <c r="G21" s="23" t="inlineStr">
        <is>
          <t>1. Fill in all fields with the Account 2 data from the Test Data sheet.
2. Click Register three times in quick succession.</t>
        </is>
      </c>
      <c r="H21" s="23" t="inlineStr">
        <is>
          <t>Account 2 data (Test Data sheet, column G)</t>
        </is>
      </c>
      <c r="I21" s="23" t="inlineStr">
        <is>
          <t>Only one account is created and only one OTP email is sent. No duplicate-email error page appears.</t>
        </is>
      </c>
      <c r="J21" s="4" t="inlineStr">
        <is>
          <t>A3</t>
        </is>
      </c>
      <c r="K21" s="5" t="inlineStr">
        <is>
          <t>The Register button is disabled after the first click. Three simultaneous submissions created one account and sent one code.</t>
        </is>
      </c>
      <c r="L21" s="6" t="inlineStr">
        <is>
          <t>Pass</t>
        </is>
      </c>
      <c r="M21" s="5" t="n"/>
    </row>
    <row r="22" ht="66" customHeight="1">
      <c r="A22" s="2" t="inlineStr">
        <is>
          <t>TC-LOG-021</t>
        </is>
      </c>
      <c r="B22" s="23" t="inlineStr">
        <is>
          <t>Company Details</t>
        </is>
      </c>
      <c r="C22" s="23" t="inlineStr">
        <is>
          <t>Company name already registered</t>
        </is>
      </c>
      <c r="D22" s="23" t="inlineStr">
        <is>
          <t>Equivalence Partitioning</t>
        </is>
      </c>
      <c r="E22" s="4" t="inlineStr">
        <is>
          <t>Medium</t>
        </is>
      </c>
      <c r="F22" s="23" t="inlineStr">
        <is>
          <t>The logistics registration page is open. The logistics account operations@bilishatid.example.com (Bilis Hatid Express Inc.) already exists.</t>
        </is>
      </c>
      <c r="G22" s="23" t="inlineStr">
        <is>
          <t>1. Fill in all other fields with valid data.
2. Enter the existing company name.
3. Click Register.</t>
        </is>
      </c>
      <c r="H22" s="23" t="inlineStr">
        <is>
          <t>Company Name: Bilis Hatid Express Inc.</t>
        </is>
      </c>
      <c r="I22" s="23" t="inlineStr">
        <is>
          <t>Registration is blocked. A message says the company name is already registered.</t>
        </is>
      </c>
      <c r="J22" s="4" t="inlineStr">
        <is>
          <t>A14</t>
        </is>
      </c>
      <c r="K22" s="5" t="inlineStr">
        <is>
          <t>Accepted. Another company named "Bilis Hatid Express Inc." was created.</t>
        </is>
      </c>
      <c r="L22" s="6" t="inlineStr">
        <is>
          <t>Fail</t>
        </is>
      </c>
      <c r="M22" s="5" t="inlineStr">
        <is>
          <t>Company names are not checked for duplicates.</t>
        </is>
      </c>
    </row>
    <row r="23" ht="52.8" customHeight="1">
      <c r="A23" s="2" t="inlineStr">
        <is>
          <t>TC-LOG-022</t>
        </is>
      </c>
      <c r="B23" s="23" t="inlineStr">
        <is>
          <t>Company Details</t>
        </is>
      </c>
      <c r="C23" s="23" t="inlineStr">
        <is>
          <t>SEC registration number in an invalid format</t>
        </is>
      </c>
      <c r="D23" s="23" t="inlineStr">
        <is>
          <t>Equivalence Partitioning</t>
        </is>
      </c>
      <c r="E23" s="4" t="inlineStr">
        <is>
          <t>Medium</t>
        </is>
      </c>
      <c r="F23" s="23" t="inlineStr">
        <is>
          <t>The logistics registration page is open.</t>
        </is>
      </c>
      <c r="G23" s="23" t="inlineStr">
        <is>
          <t>1. Fill in all other fields with valid data.
2. Enter each SEC registration number in the test data, one per attempt.
3. Click Register.</t>
        </is>
      </c>
      <c r="H23" s="23" t="inlineStr">
        <is>
          <t>CS20201234 (8 digits)
202012345CS (letters at the end)
CS2020-12345 (symbol)
12345678901 (no letters)</t>
        </is>
      </c>
      <c r="I23" s="23" t="inlineStr">
        <is>
          <t>Each value is rejected with a message showing the expected format (2 letters followed by 9 digits).</t>
        </is>
      </c>
      <c r="J23" s="4" t="inlineStr">
        <is>
          <t>A14</t>
        </is>
      </c>
      <c r="K23" s="5" t="inlineStr">
        <is>
          <t>No SEC Registration No. field. The invalid value was ignored and the account created.</t>
        </is>
      </c>
      <c r="L23" s="6" t="inlineStr">
        <is>
          <t>Fail</t>
        </is>
      </c>
      <c r="M23" s="5" t="inlineStr">
        <is>
          <t>SEC number not collected.</t>
        </is>
      </c>
    </row>
    <row r="24" ht="66" customHeight="1">
      <c r="A24" s="2" t="inlineStr">
        <is>
          <t>TC-LOG-023</t>
        </is>
      </c>
      <c r="B24" s="23" t="inlineStr">
        <is>
          <t>Company Details</t>
        </is>
      </c>
      <c r="C24" s="23" t="inlineStr">
        <is>
          <t>SEC registration number already registered</t>
        </is>
      </c>
      <c r="D24" s="23" t="inlineStr">
        <is>
          <t>Equivalence Partitioning</t>
        </is>
      </c>
      <c r="E24" s="4" t="inlineStr">
        <is>
          <t>Medium</t>
        </is>
      </c>
      <c r="F24" s="23" t="inlineStr">
        <is>
          <t>The logistics registration page is open. The logistics account operations@bilishatid.example.com (Bilis Hatid Express Inc.) already exists.</t>
        </is>
      </c>
      <c r="G24" s="23" t="inlineStr">
        <is>
          <t>1. Fill in all other fields with valid data.
2. Enter the existing SEC registration number.
3. Click Register.</t>
        </is>
      </c>
      <c r="H24" s="23" t="inlineStr">
        <is>
          <t>SEC Registration No.: CS202012345</t>
        </is>
      </c>
      <c r="I24" s="23" t="inlineStr">
        <is>
          <t>Registration is blocked. A message says the SEC registration number is already in use.</t>
        </is>
      </c>
      <c r="J24" s="4" t="inlineStr">
        <is>
          <t>A14</t>
        </is>
      </c>
      <c r="K24" s="5" t="inlineStr">
        <is>
          <t>No SEC Registration No. field, so duplicates cannot be checked.</t>
        </is>
      </c>
      <c r="L24" s="6" t="inlineStr">
        <is>
          <t>Fail</t>
        </is>
      </c>
      <c r="M24" s="5" t="inlineStr">
        <is>
          <t>SEC number not collected.</t>
        </is>
      </c>
    </row>
    <row r="25" ht="52.8" customHeight="1">
      <c r="A25" s="2" t="inlineStr">
        <is>
          <t>TC-LOG-024</t>
        </is>
      </c>
      <c r="B25" s="23" t="inlineStr">
        <is>
          <t>Company Details</t>
        </is>
      </c>
      <c r="C25" s="23" t="inlineStr">
        <is>
          <t>Select more than one service area</t>
        </is>
      </c>
      <c r="D25" s="23" t="inlineStr">
        <is>
          <t>Equivalence Partitioning</t>
        </is>
      </c>
      <c r="E25" s="4" t="inlineStr">
        <is>
          <t>Low</t>
        </is>
      </c>
      <c r="F25" s="23" t="inlineStr">
        <is>
          <t>The logistics registration page is open. The email, mobile number and other unique values in the test data are not yet registered.</t>
        </is>
      </c>
      <c r="G25" s="23" t="inlineStr">
        <is>
          <t>1. Fill in all other fields with valid data.
2. Select the three regions in the test data.
3. Click Register.</t>
        </is>
      </c>
      <c r="H25" s="23" t="inlineStr">
        <is>
          <t>Service Areas: NCR; Region III (Central Luzon); Region IV-A (CALABARZON)</t>
        </is>
      </c>
      <c r="I25" s="23" t="inlineStr">
        <is>
          <t>All three regions are accepted and shown as selected. Registration continues to email verification.</t>
        </is>
      </c>
      <c r="J25" s="4" t="inlineStr">
        <is>
          <t>A1</t>
        </is>
      </c>
      <c r="K25" s="5" t="inlineStr">
        <is>
          <t>Accepted. Service Area is a free-text field and was saved as typed: "NCR; Region III (Central Luzon); Region IV-A (CALABARZON)".</t>
        </is>
      </c>
      <c r="L25" s="6" t="inlineStr">
        <is>
          <t>Pass</t>
        </is>
      </c>
      <c r="M25" s="5" t="inlineStr">
        <is>
          <t>Service Area is free text, not a multi-select.</t>
        </is>
      </c>
    </row>
    <row r="26" ht="52.8" customHeight="1">
      <c r="A26" s="2" t="inlineStr">
        <is>
          <t>TC-LOG-025</t>
        </is>
      </c>
      <c r="B26" s="23" t="inlineStr">
        <is>
          <t>Business Details</t>
        </is>
      </c>
      <c r="C26" s="23" t="inlineStr">
        <is>
          <t>TIN in an invalid format or length</t>
        </is>
      </c>
      <c r="D26" s="23" t="inlineStr">
        <is>
          <t>Boundary Value Analysis</t>
        </is>
      </c>
      <c r="E26" s="4" t="inlineStr">
        <is>
          <t>High</t>
        </is>
      </c>
      <c r="F26" s="23" t="inlineStr">
        <is>
          <t>The logistics registration page is open.</t>
        </is>
      </c>
      <c r="G26" s="23" t="inlineStr">
        <is>
          <t>1. Fill in all other fields with valid data.
2. Enter each TIN in the test data, one per attempt.
3. Click Register.</t>
        </is>
      </c>
      <c r="H26" s="23" t="inlineStr">
        <is>
          <t>11 digits: 123-456-789-00 (reject)
12 digits: 345-678-901-000 (accept)
13 digits: 123-456-789-0001 (reject)
Letters: 123-456-78A-000 (reject)</t>
        </is>
      </c>
      <c r="I26" s="23" t="inlineStr">
        <is>
          <t>Only the 12-digit TIN is accepted. The other values are rejected with a message showing the format 000-000-000-000.</t>
        </is>
      </c>
      <c r="J26" s="4" t="inlineStr">
        <is>
          <t>A8</t>
        </is>
      </c>
      <c r="K26" s="5" t="inlineStr">
        <is>
          <t>No TIN field. The invalid TIN was ignored and the account created.</t>
        </is>
      </c>
      <c r="L26" s="6" t="inlineStr">
        <is>
          <t>Fail</t>
        </is>
      </c>
      <c r="M26" s="5" t="inlineStr">
        <is>
          <t>TIN not collected.</t>
        </is>
      </c>
    </row>
    <row r="27" ht="39.6" customHeight="1">
      <c r="A27" s="2" t="inlineStr">
        <is>
          <t>TC-LOG-026</t>
        </is>
      </c>
      <c r="B27" s="23" t="inlineStr">
        <is>
          <t>Business Details</t>
        </is>
      </c>
      <c r="C27" s="23" t="inlineStr">
        <is>
          <t>TIN that is already registered</t>
        </is>
      </c>
      <c r="D27" s="23" t="inlineStr">
        <is>
          <t>Equivalence Partitioning</t>
        </is>
      </c>
      <c r="E27" s="4" t="inlineStr">
        <is>
          <t>Medium</t>
        </is>
      </c>
      <c r="F27" s="23" t="inlineStr">
        <is>
          <t>The logistics registration page is open. Another account already uses TIN 234-567-890-000.</t>
        </is>
      </c>
      <c r="G27" s="23" t="inlineStr">
        <is>
          <t>1. Fill in all other fields with valid data.
2. Enter the existing TIN.
3. Click Register.</t>
        </is>
      </c>
      <c r="H27" s="23" t="inlineStr">
        <is>
          <t>TIN: 234-567-890-000</t>
        </is>
      </c>
      <c r="I27" s="23" t="inlineStr">
        <is>
          <t>Registration is blocked. A message says the TIN is already registered.</t>
        </is>
      </c>
      <c r="J27" s="4" t="inlineStr">
        <is>
          <t>A8</t>
        </is>
      </c>
      <c r="K27" s="5" t="inlineStr">
        <is>
          <t>No TIN field, so duplicates cannot be checked.</t>
        </is>
      </c>
      <c r="L27" s="6" t="inlineStr">
        <is>
          <t>Fail</t>
        </is>
      </c>
      <c r="M27" s="5" t="inlineStr">
        <is>
          <t>TIN not collected.</t>
        </is>
      </c>
    </row>
    <row r="28" ht="66" customHeight="1">
      <c r="A28" s="2" t="inlineStr">
        <is>
          <t>TC-LOG-027</t>
        </is>
      </c>
      <c r="B28" s="23" t="inlineStr">
        <is>
          <t>Company Address</t>
        </is>
      </c>
      <c r="C28" s="23" t="inlineStr">
        <is>
          <t>Address dropdowns depend on each other</t>
        </is>
      </c>
      <c r="D28" s="23" t="inlineStr">
        <is>
          <t>Error Guessing</t>
        </is>
      </c>
      <c r="E28" s="4" t="inlineStr">
        <is>
          <t>Medium</t>
        </is>
      </c>
      <c r="F28" s="23" t="inlineStr">
        <is>
          <t>The logistics registration page is open.</t>
        </is>
      </c>
      <c r="G28" s="23" t="inlineStr">
        <is>
          <t>1. Select the Region, Province, City and Barangay in the test data.
2. Change the Region to Region VII (Central Visayas).
3. Open the Province dropdown.</t>
        </is>
      </c>
      <c r="H28" s="23" t="inlineStr">
        <is>
          <t>Region: National Capital Region (NCR)
Province: Metro Manila
City / Municipality: Pasig City
Barangay: Kapitolyo</t>
        </is>
      </c>
      <c r="I28" s="23" t="inlineStr">
        <is>
          <t>After the change, Province, City and Barangay are cleared. The Province list shows only Region VII provinces such as Cebu and Bohol. Pasig City and Kapitolyo can no longer be selected.</t>
        </is>
      </c>
      <c r="J28" s="4" t="inlineStr">
        <is>
          <t>A7</t>
        </is>
      </c>
      <c r="K28" s="5" t="inlineStr">
        <is>
          <t>No address fields on the logistics registration form.</t>
        </is>
      </c>
      <c r="L28" s="6" t="inlineStr">
        <is>
          <t>Fail</t>
        </is>
      </c>
      <c r="M28" s="5" t="inlineStr">
        <is>
          <t>Address not collected at registration.</t>
        </is>
      </c>
    </row>
    <row r="29" ht="52.8" customHeight="1">
      <c r="A29" s="2" t="inlineStr">
        <is>
          <t>TC-LOG-028</t>
        </is>
      </c>
      <c r="B29" s="23" t="inlineStr">
        <is>
          <t>Company Address</t>
        </is>
      </c>
      <c r="C29" s="23" t="inlineStr">
        <is>
          <t>Postal code length and format</t>
        </is>
      </c>
      <c r="D29" s="23" t="inlineStr">
        <is>
          <t>Boundary Value Analysis</t>
        </is>
      </c>
      <c r="E29" s="4" t="inlineStr">
        <is>
          <t>Medium</t>
        </is>
      </c>
      <c r="F29" s="23" t="inlineStr">
        <is>
          <t>The logistics registration page is open.</t>
        </is>
      </c>
      <c r="G29" s="23" t="inlineStr">
        <is>
          <t>1. Fill in all other fields with valid data.
2. Enter each postal code in the test data, one per attempt.
3. Click Register.</t>
        </is>
      </c>
      <c r="H29" s="23" t="inlineStr">
        <is>
          <t>3 digits: 160 (reject)
4 digits: 1603 (accept)
5 digits: 16030 (reject)
Letters: 16A3 (reject)</t>
        </is>
      </c>
      <c r="I29" s="23" t="inlineStr">
        <is>
          <t>Only the 4-digit postal code is accepted. The other values are rejected with a message asking for a 4-digit postal code.</t>
        </is>
      </c>
      <c r="J29" s="4" t="inlineStr">
        <is>
          <t>A7</t>
        </is>
      </c>
      <c r="K29" s="5" t="inlineStr">
        <is>
          <t>No Postal Code field. The invalid value was ignored.</t>
        </is>
      </c>
      <c r="L29" s="6" t="inlineStr">
        <is>
          <t>Fail</t>
        </is>
      </c>
      <c r="M29" s="5" t="inlineStr">
        <is>
          <t>Address not collected at registration.</t>
        </is>
      </c>
    </row>
    <row r="30" ht="92.40000000000001" customHeight="1">
      <c r="A30" s="2" t="inlineStr">
        <is>
          <t>TC-LOG-029</t>
        </is>
      </c>
      <c r="B30" s="23" t="inlineStr">
        <is>
          <t>Document Upload</t>
        </is>
      </c>
      <c r="C30" s="23" t="inlineStr">
        <is>
          <t>Upload documents in each accepted file type</t>
        </is>
      </c>
      <c r="D30" s="23" t="inlineStr">
        <is>
          <t>Equivalence Partitioning</t>
        </is>
      </c>
      <c r="E30" s="4" t="inlineStr">
        <is>
          <t>High</t>
        </is>
      </c>
      <c r="F30" s="23" t="inlineStr">
        <is>
          <t>The logistics registration page is open. The email, mobile number and other unique values in the test data are not yet registered.</t>
        </is>
      </c>
      <c r="G30" s="23" t="inlineStr">
        <is>
          <t>1. Fill in all other fields with valid data.
2. Upload the files in the test data.
3. Click Register.</t>
        </is>
      </c>
      <c r="H30" s="23" t="inlineStr">
        <is>
          <t>SEC Certificate: sec_certificate.pdf (1.0 MB)
BIR Form 2303: bir_2303.pdf (1.1 MB)
Mayor's / Business Permit: mayors_permit.pdf (1.3 MB)
Valid ID: govt_id_front.jpg (1.2 MB), then govt_id_front.png (2.4 MB)</t>
        </is>
      </c>
      <c r="I30" s="23" t="inlineStr">
        <is>
          <t>Each file is accepted and its name or preview is shown. Registration continues to email verification.</t>
        </is>
      </c>
      <c r="J30" s="4" t="inlineStr">
        <is>
          <t>A10</t>
        </is>
      </c>
      <c r="K30" s="5" t="inlineStr">
        <is>
          <t>No document upload fields on the form.</t>
        </is>
      </c>
      <c r="L30" s="6" t="inlineStr">
        <is>
          <t>Fail</t>
        </is>
      </c>
      <c r="M30" s="5" t="inlineStr">
        <is>
          <t>Logistics documents are not collected.</t>
        </is>
      </c>
    </row>
    <row r="31" ht="52.8" customHeight="1">
      <c r="A31" s="2" t="inlineStr">
        <is>
          <t>TC-LOG-030</t>
        </is>
      </c>
      <c r="B31" s="23" t="inlineStr">
        <is>
          <t>Document Upload</t>
        </is>
      </c>
      <c r="C31" s="23" t="inlineStr">
        <is>
          <t>Upload a file type that is not accepted</t>
        </is>
      </c>
      <c r="D31" s="23" t="inlineStr">
        <is>
          <t>Equivalence Partitioning</t>
        </is>
      </c>
      <c r="E31" s="4" t="inlineStr">
        <is>
          <t>High</t>
        </is>
      </c>
      <c r="F31" s="23" t="inlineStr">
        <is>
          <t>The logistics registration page is open.</t>
        </is>
      </c>
      <c r="G31" s="23" t="inlineStr">
        <is>
          <t>1. Fill in all other fields with valid data.
2. Try to upload each file in the test data to Mayor's / Business Permit, one per attempt.
3. Click Register.</t>
        </is>
      </c>
      <c r="H31" s="23" t="inlineStr">
        <is>
          <t>price_list.docx (320 KB)
store_banner.gif (480 KB)
installer.exe (2.1 MB)</t>
        </is>
      </c>
      <c r="I31" s="23" t="inlineStr">
        <is>
          <t>Each file is rejected with a message listing the accepted types (JPG, PNG, PDF). No account is created.</t>
        </is>
      </c>
      <c r="J31" s="4" t="inlineStr">
        <is>
          <t>A10</t>
        </is>
      </c>
      <c r="K31" s="5" t="inlineStr">
        <is>
          <t>No document upload fields on the form.</t>
        </is>
      </c>
      <c r="L31" s="6" t="inlineStr">
        <is>
          <t>Fail</t>
        </is>
      </c>
      <c r="M31" s="5" t="inlineStr">
        <is>
          <t>Logistics documents are not collected.</t>
        </is>
      </c>
    </row>
    <row r="32" ht="52.8" customHeight="1">
      <c r="A32" s="2" t="inlineStr">
        <is>
          <t>TC-LOG-031</t>
        </is>
      </c>
      <c r="B32" s="23" t="inlineStr">
        <is>
          <t>Document Upload</t>
        </is>
      </c>
      <c r="C32" s="23" t="inlineStr">
        <is>
          <t>File size at the limit</t>
        </is>
      </c>
      <c r="D32" s="23" t="inlineStr">
        <is>
          <t>Boundary Value Analysis</t>
        </is>
      </c>
      <c r="E32" s="4" t="inlineStr">
        <is>
          <t>High</t>
        </is>
      </c>
      <c r="F32" s="23" t="inlineStr">
        <is>
          <t>The logistics registration page is open. The email, mobile number and other unique values in the test data are not yet registered.</t>
        </is>
      </c>
      <c r="G32" s="23" t="inlineStr">
        <is>
          <t>1. Fill in all other fields with valid data.
2. Upload each file in the test data to Mayor's / Business Permit, one per attempt.
3. Click Register.</t>
        </is>
      </c>
      <c r="H32" s="23" t="inlineStr">
        <is>
          <t>size_4.9MB.jpg (accept)
size_5.0MB.jpg, exactly 5,120 KB (accept)
size_5.1MB.jpg (reject)</t>
        </is>
      </c>
      <c r="I32" s="23" t="inlineStr">
        <is>
          <t>The 4.9 MB and 5.0 MB files are accepted. The 5.1 MB file is rejected with a maximum-size message.</t>
        </is>
      </c>
      <c r="J32" s="4" t="inlineStr">
        <is>
          <t>A10</t>
        </is>
      </c>
      <c r="K32" s="5" t="inlineStr">
        <is>
          <t>No document upload fields on the form.</t>
        </is>
      </c>
      <c r="L32" s="6" t="inlineStr">
        <is>
          <t>Fail</t>
        </is>
      </c>
      <c r="M32" s="5" t="inlineStr">
        <is>
          <t>Logistics documents are not collected.</t>
        </is>
      </c>
    </row>
    <row r="33" ht="79.2" customHeight="1">
      <c r="A33" s="2" t="inlineStr">
        <is>
          <t>TC-LOG-032</t>
        </is>
      </c>
      <c r="B33" s="23" t="inlineStr">
        <is>
          <t>Email Verification (OTP)</t>
        </is>
      </c>
      <c r="C33" s="23" t="inlineStr">
        <is>
          <t>Verify with the correct OTP</t>
        </is>
      </c>
      <c r="D33" s="23" t="inlineStr">
        <is>
          <t>State Transition</t>
        </is>
      </c>
      <c r="E33" s="4" t="inlineStr">
        <is>
          <t>High</t>
        </is>
      </c>
      <c r="F33" s="23" t="inlineStr">
        <is>
          <t>The logistics account operations@bilishatid.example.com was just registered and is Unverified. The verification page is open and the OTP email has been read from the mail catcher.</t>
        </is>
      </c>
      <c r="G33" s="23" t="inlineStr">
        <is>
          <t>1. Enter the OTP from the email within 5 minutes.
2. Click Verify.</t>
        </is>
      </c>
      <c r="H33" s="23" t="inlineStr">
        <is>
          <t>OTP: the code in the email (for example 482913)</t>
        </is>
      </c>
      <c r="I33" s="23" t="inlineStr">
        <is>
          <t>Verification succeeds. The account status changes from Unverified to Pending Approval. A message says the application is waiting for admin approval.</t>
        </is>
      </c>
      <c r="J33" s="4" t="inlineStr">
        <is>
          <t>A9, A12</t>
        </is>
      </c>
      <c r="K33" s="5" t="inlineStr">
        <is>
          <t>Correct code accepted. The logistics login page opened with "Email verified. Your account is still awaiting approval from an administrator." Account and company: Pending.</t>
        </is>
      </c>
      <c r="L33" s="6" t="inlineStr">
        <is>
          <t>Pass</t>
        </is>
      </c>
      <c r="M33" s="5" t="n"/>
    </row>
    <row r="34" ht="79.2" customHeight="1">
      <c r="A34" s="2" t="inlineStr">
        <is>
          <t>TC-LOG-033</t>
        </is>
      </c>
      <c r="B34" s="23" t="inlineStr">
        <is>
          <t>Email Verification (OTP)</t>
        </is>
      </c>
      <c r="C34" s="23" t="inlineStr">
        <is>
          <t>Verify with an incorrect OTP</t>
        </is>
      </c>
      <c r="D34" s="23" t="inlineStr">
        <is>
          <t>Equivalence Partitioning</t>
        </is>
      </c>
      <c r="E34" s="4" t="inlineStr">
        <is>
          <t>High</t>
        </is>
      </c>
      <c r="F34" s="23" t="inlineStr">
        <is>
          <t>The logistics account operations@bilishatid.example.com was just registered and is Unverified. The verification page is open and the OTP email has been read from the mail catcher.</t>
        </is>
      </c>
      <c r="G34" s="23" t="inlineStr">
        <is>
          <t>1. Enter a code different from the one in the email.
2. Click Verify.</t>
        </is>
      </c>
      <c r="H34" s="23" t="inlineStr">
        <is>
          <t>OTP: 000000 (use 111111 if the real code is 000000)</t>
        </is>
      </c>
      <c r="I34" s="23" t="inlineStr">
        <is>
          <t>Verification fails with an invalid-code message. The account stays Unverified.</t>
        </is>
      </c>
      <c r="J34" s="4" t="inlineStr">
        <is>
          <t>A9</t>
        </is>
      </c>
      <c r="K34" s="5" t="inlineStr">
        <is>
          <t>Rejected with "That code is incorrect." The account stays unverified.</t>
        </is>
      </c>
      <c r="L34" s="6" t="inlineStr">
        <is>
          <t>Pass</t>
        </is>
      </c>
      <c r="M34" s="5" t="n"/>
    </row>
    <row r="35" ht="79.2" customHeight="1">
      <c r="A35" s="2" t="inlineStr">
        <is>
          <t>TC-LOG-034</t>
        </is>
      </c>
      <c r="B35" s="23" t="inlineStr">
        <is>
          <t>Email Verification (OTP)</t>
        </is>
      </c>
      <c r="C35" s="23" t="inlineStr">
        <is>
          <t>OTP in the wrong format</t>
        </is>
      </c>
      <c r="D35" s="23" t="inlineStr">
        <is>
          <t>Equivalence Partitioning</t>
        </is>
      </c>
      <c r="E35" s="4" t="inlineStr">
        <is>
          <t>Medium</t>
        </is>
      </c>
      <c r="F35" s="23" t="inlineStr">
        <is>
          <t>The logistics account operations@bilishatid.example.com was just registered and is Unverified. The verification page is open and the OTP email has been read from the mail catcher.</t>
        </is>
      </c>
      <c r="G35" s="23" t="inlineStr">
        <is>
          <t>1. Enter each value in the test data, one per attempt.
2. Click Verify.</t>
        </is>
      </c>
      <c r="H35" s="23" t="inlineStr">
        <is>
          <t>5 digits: 48291
7 digits: 4829137
Letters: 48A91B
Blank</t>
        </is>
      </c>
      <c r="I35" s="23" t="inlineStr">
        <is>
          <t>Each value is rejected. The account stays Unverified.</t>
        </is>
      </c>
      <c r="J35" s="4" t="inlineStr">
        <is>
          <t>A9</t>
        </is>
      </c>
      <c r="K35" s="5" t="inlineStr">
        <is>
          <t>All rejected with "Enter the six-digit code from your email." The account stays unverified.</t>
        </is>
      </c>
      <c r="L35" s="6" t="inlineStr">
        <is>
          <t>Pass</t>
        </is>
      </c>
      <c r="M35" s="5" t="n"/>
    </row>
    <row r="36" ht="79.2" customHeight="1">
      <c r="A36" s="2" t="inlineStr">
        <is>
          <t>TC-LOG-035</t>
        </is>
      </c>
      <c r="B36" s="23" t="inlineStr">
        <is>
          <t>Email Verification (OTP)</t>
        </is>
      </c>
      <c r="C36" s="23" t="inlineStr">
        <is>
          <t>Verify with an expired OTP</t>
        </is>
      </c>
      <c r="D36" s="23" t="inlineStr">
        <is>
          <t>Boundary Value Analysis</t>
        </is>
      </c>
      <c r="E36" s="4" t="inlineStr">
        <is>
          <t>High</t>
        </is>
      </c>
      <c r="F36" s="23" t="inlineStr">
        <is>
          <t>The logistics account operations@bilishatid.example.com was just registered and is Unverified. The verification page is open and the OTP email has been read from the mail catcher.</t>
        </is>
      </c>
      <c r="G36" s="23" t="inlineStr">
        <is>
          <t>1. Wait until 5 minutes and 1 second have passed since the OTP was sent.
2. Enter the OTP from the email.
3. Click Verify.</t>
        </is>
      </c>
      <c r="H36" s="23" t="inlineStr">
        <is>
          <t>OTP: the correct code, entered at 5:01 or later</t>
        </is>
      </c>
      <c r="I36" s="23" t="inlineStr">
        <is>
          <t>Verification fails with a message that the code has expired, and a Resend option is offered. The account stays Unverified.</t>
        </is>
      </c>
      <c r="J36" s="4" t="inlineStr">
        <is>
          <t>A9</t>
        </is>
      </c>
      <c r="K36" s="5" t="inlineStr">
        <is>
          <t>At 5:01 the code is still valid; it expires after 10 minutes. After expiry: "Your code has expired or is unavailable." with Resend available.</t>
        </is>
      </c>
      <c r="L36" s="6" t="inlineStr">
        <is>
          <t>Fail</t>
        </is>
      </c>
      <c r="M36" s="5" t="inlineStr">
        <is>
          <t>Codes last 10 minutes, not 5 (A9).</t>
        </is>
      </c>
    </row>
    <row r="37" ht="79.2" customHeight="1">
      <c r="A37" s="2" t="inlineStr">
        <is>
          <t>TC-LOG-036</t>
        </is>
      </c>
      <c r="B37" s="23" t="inlineStr">
        <is>
          <t>Email Verification (OTP)</t>
        </is>
      </c>
      <c r="C37" s="23" t="inlineStr">
        <is>
          <t>Resend OTP</t>
        </is>
      </c>
      <c r="D37" s="23" t="inlineStr">
        <is>
          <t>State Transition</t>
        </is>
      </c>
      <c r="E37" s="4" t="inlineStr">
        <is>
          <t>Medium</t>
        </is>
      </c>
      <c r="F37" s="23" t="inlineStr">
        <is>
          <t>The logistics account operations@bilishatid.example.com was just registered and is Unverified. The verification page is open and the OTP email has been read from the mail catcher.</t>
        </is>
      </c>
      <c r="G37" s="23" t="inlineStr">
        <is>
          <t>1. Click Resend OTP.
2. Enter the first code and click Verify.
3. Enter the second code and click Verify.</t>
        </is>
      </c>
      <c r="H37" s="23" t="inlineStr">
        <is>
          <t>First code (for example 482913), then the second code (for example 907356)</t>
        </is>
      </c>
      <c r="I37" s="23" t="inlineStr">
        <is>
          <t>A new OTP email arrives. The first code is rejected. The second code is accepted and the account is verified.</t>
        </is>
      </c>
      <c r="J37" s="4" t="inlineStr">
        <is>
          <t>A9</t>
        </is>
      </c>
      <c r="K37" s="5" t="inlineStr">
        <is>
          <t>Resend allowed after one minute. The first code was rejected and the second accepted.</t>
        </is>
      </c>
      <c r="L37" s="6" t="inlineStr">
        <is>
          <t>Pass</t>
        </is>
      </c>
      <c r="M37" s="5" t="n"/>
    </row>
    <row r="38" ht="39.6" customHeight="1">
      <c r="A38" s="2" t="inlineStr">
        <is>
          <t>TC-LOG-037</t>
        </is>
      </c>
      <c r="B38" s="23" t="inlineStr">
        <is>
          <t>Email Verification (OTP)</t>
        </is>
      </c>
      <c r="C38" s="23" t="inlineStr">
        <is>
          <t>Log in before verifying the email</t>
        </is>
      </c>
      <c r="D38" s="23" t="inlineStr">
        <is>
          <t>State Transition</t>
        </is>
      </c>
      <c r="E38" s="4" t="inlineStr">
        <is>
          <t>High</t>
        </is>
      </c>
      <c r="F38" s="23" t="inlineStr">
        <is>
          <t>The logistics account operations@bilishatid.example.com exists with status Unverified.</t>
        </is>
      </c>
      <c r="G38" s="23" t="inlineStr">
        <is>
          <t>1. Open the login page.
2. Log in with the unverified account.</t>
        </is>
      </c>
      <c r="H38" s="23" t="inlineStr">
        <is>
          <t>Email: operations@bilishatid.example.com
Password: Hatid@2026</t>
        </is>
      </c>
      <c r="I38" s="23" t="inlineStr">
        <is>
          <t>The user is not given access. The verification page or a message asking to verify the email is shown.</t>
        </is>
      </c>
      <c r="J38" s="4" t="inlineStr">
        <is>
          <t>A9, A12</t>
        </is>
      </c>
      <c r="K38" s="5" t="inlineStr">
        <is>
          <t>Not given access. Login redirects to the email verification page.</t>
        </is>
      </c>
      <c r="L38" s="6" t="inlineStr">
        <is>
          <t>Pass</t>
        </is>
      </c>
      <c r="M38" s="5" t="n"/>
    </row>
    <row r="39" ht="52.8" customHeight="1">
      <c r="A39" s="2" t="inlineStr">
        <is>
          <t>TC-LOG-038</t>
        </is>
      </c>
      <c r="B39" s="23" t="inlineStr">
        <is>
          <t>Admin Approval</t>
        </is>
      </c>
      <c r="C39" s="23" t="inlineStr">
        <is>
          <t>Pending logistics logs in</t>
        </is>
      </c>
      <c r="D39" s="23" t="inlineStr">
        <is>
          <t>State Transition</t>
        </is>
      </c>
      <c r="E39" s="4" t="inlineStr">
        <is>
          <t>High</t>
        </is>
      </c>
      <c r="F39" s="23" t="inlineStr">
        <is>
          <t>The logistics account operations@bilishatid.example.com is verified and has status Pending Approval.</t>
        </is>
      </c>
      <c r="G39" s="23" t="inlineStr">
        <is>
          <t>1. Log in with the pending logistics account.
2. Try to open the logistics dashboard.</t>
        </is>
      </c>
      <c r="H39" s="23" t="inlineStr">
        <is>
          <t>Email: operations@bilishatid.example.com
Password: Hatid@2026</t>
        </is>
      </c>
      <c r="I39" s="23" t="inlineStr">
        <is>
          <t>A notice says the application is under review. The logistics cannot add riders or accept deliveries.</t>
        </is>
      </c>
      <c r="J39" s="4" t="inlineStr">
        <is>
          <t>A12</t>
        </is>
      </c>
      <c r="K39" s="5" t="inlineStr">
        <is>
          <t>Login refused with "This logistics account is pending approval or has been suspended." The dashboard and riders pages redirect to the logistics login.</t>
        </is>
      </c>
      <c r="L39" s="6" t="inlineStr">
        <is>
          <t>Pass</t>
        </is>
      </c>
      <c r="M39" s="5" t="n"/>
    </row>
    <row r="40" ht="52.8" customHeight="1">
      <c r="A40" s="2" t="inlineStr">
        <is>
          <t>TC-LOG-039</t>
        </is>
      </c>
      <c r="B40" s="23" t="inlineStr">
        <is>
          <t>Admin Approval</t>
        </is>
      </c>
      <c r="C40" s="23" t="inlineStr">
        <is>
          <t>New application appears in the admin's pending list</t>
        </is>
      </c>
      <c r="D40" s="23" t="inlineStr">
        <is>
          <t>Use Case Testing</t>
        </is>
      </c>
      <c r="E40" s="4" t="inlineStr">
        <is>
          <t>High</t>
        </is>
      </c>
      <c r="F40" s="23" t="inlineStr">
        <is>
          <t>The logistics account operations@bilishatid.example.com has status Pending Approval. An admin account is logged in.</t>
        </is>
      </c>
      <c r="G40" s="23" t="inlineStr">
        <is>
          <t>1. Open the pending logistics applications.
2. Open the application of Bilis Hatid Express Inc..
3. Open each uploaded document.</t>
        </is>
      </c>
      <c r="H40" s="23" t="inlineStr">
        <is>
          <t>Applicant: Bilis Hatid Express Inc.
Email: operations@bilishatid.example.com</t>
        </is>
      </c>
      <c r="I40" s="23" t="inlineStr">
        <is>
          <t>The application is listed as Pending. All details match the Test Data sheet, and each uploaded document opens correctly.</t>
        </is>
      </c>
      <c r="J40" s="4" t="inlineStr">
        <is>
          <t>A12</t>
        </is>
      </c>
      <c r="K40" s="5" t="inlineStr">
        <is>
          <t>Listed under Admin &gt; Approvals and Admin &gt; Logistics as Pending, with company, service area, contact name, email and Approve / Reject buttons. No documents to open.</t>
        </is>
      </c>
      <c r="L40" s="6" t="inlineStr">
        <is>
          <t>Fail</t>
        </is>
      </c>
      <c r="M40" s="5" t="inlineStr">
        <is>
          <t>No uploaded documents or business details to review.</t>
        </is>
      </c>
    </row>
    <row r="41" ht="52.8" customHeight="1">
      <c r="A41" s="2" t="inlineStr">
        <is>
          <t>TC-LOG-040</t>
        </is>
      </c>
      <c r="B41" s="23" t="inlineStr">
        <is>
          <t>Admin Approval</t>
        </is>
      </c>
      <c r="C41" s="23" t="inlineStr">
        <is>
          <t>Admin approves the application</t>
        </is>
      </c>
      <c r="D41" s="23" t="inlineStr">
        <is>
          <t>State Transition</t>
        </is>
      </c>
      <c r="E41" s="4" t="inlineStr">
        <is>
          <t>High</t>
        </is>
      </c>
      <c r="F41" s="23" t="inlineStr">
        <is>
          <t>The application of Bilis Hatid Express Inc. is Pending Approval. An admin account is logged in.</t>
        </is>
      </c>
      <c r="G41" s="23" t="inlineStr">
        <is>
          <t>1. Open the application.
2. Click Approve and confirm.
3. Log in with the logistics account.</t>
        </is>
      </c>
      <c r="H41" s="23" t="inlineStr">
        <is>
          <t>Applicant: Bilis Hatid Express Inc.
Email: operations@bilishatid.example.com
Password: Hatid@2026</t>
        </is>
      </c>
      <c r="I41" s="23" t="inlineStr">
        <is>
          <t>Status changes to Approved. An approval email is sent to operations@bilishatid.example.com. On login, the logistics dashboard opens.</t>
        </is>
      </c>
      <c r="J41" s="4" t="inlineStr">
        <is>
          <t>A12</t>
        </is>
      </c>
      <c r="K41" s="5" t="inlineStr">
        <is>
          <t>Account Active and company Approved. The logistics dashboard opens on login. No approval email was sent.</t>
        </is>
      </c>
      <c r="L41" s="6" t="inlineStr">
        <is>
          <t>Fail</t>
        </is>
      </c>
      <c r="M41" s="5" t="inlineStr">
        <is>
          <t>No approval email.</t>
        </is>
      </c>
    </row>
    <row r="42" ht="52.8" customHeight="1">
      <c r="A42" s="2" t="inlineStr">
        <is>
          <t>TC-LOG-041</t>
        </is>
      </c>
      <c r="B42" s="23" t="inlineStr">
        <is>
          <t>Admin Approval</t>
        </is>
      </c>
      <c r="C42" s="23" t="inlineStr">
        <is>
          <t>Admin rejects the application with a reason</t>
        </is>
      </c>
      <c r="D42" s="23" t="inlineStr">
        <is>
          <t>State Transition</t>
        </is>
      </c>
      <c r="E42" s="4" t="inlineStr">
        <is>
          <t>High</t>
        </is>
      </c>
      <c r="F42" s="23" t="inlineStr">
        <is>
          <t>A second logistics application is Pending Approval (use the Account 2 data). An admin account is logged in.</t>
        </is>
      </c>
      <c r="G42" s="23" t="inlineStr">
        <is>
          <t>1. Open the application.
2. Click Reject, type the reason, and confirm.
3. Log in with the logistics account.</t>
        </is>
      </c>
      <c r="H42" s="23" t="inlineStr">
        <is>
          <t>Reason: Mayor's permit expired on 12/31/2025.</t>
        </is>
      </c>
      <c r="I42" s="23" t="inlineStr">
        <is>
          <t>Status changes to Rejected. The logistics receives an email containing the reason. On login, the reason is shown and the logistics dashboard is not available.</t>
        </is>
      </c>
      <c r="J42" s="4" t="inlineStr">
        <is>
          <t>A12</t>
        </is>
      </c>
      <c r="K42" s="5" t="inlineStr">
        <is>
          <t>Account and company Rejected. No reason field and no email. On login: "This logistics account is pending approval or has been suspended."</t>
        </is>
      </c>
      <c r="L42" s="6" t="inlineStr">
        <is>
          <t>Fail</t>
        </is>
      </c>
      <c r="M42" s="5" t="inlineStr">
        <is>
          <t>No rejection reason or email; the login message does not say the application was rejected.</t>
        </is>
      </c>
    </row>
    <row r="43" ht="39.6" customHeight="1">
      <c r="A43" s="2" t="inlineStr">
        <is>
          <t>TC-LOG-042</t>
        </is>
      </c>
      <c r="B43" s="23" t="inlineStr">
        <is>
          <t>Admin Approval</t>
        </is>
      </c>
      <c r="C43" s="23" t="inlineStr">
        <is>
          <t>Rejected logistics corrects and resubmits</t>
        </is>
      </c>
      <c r="D43" s="23" t="inlineStr">
        <is>
          <t>State Transition</t>
        </is>
      </c>
      <c r="E43" s="4" t="inlineStr">
        <is>
          <t>Medium</t>
        </is>
      </c>
      <c r="F43" s="23" t="inlineStr">
        <is>
          <t>The logistics application from the previous case has status Rejected.</t>
        </is>
      </c>
      <c r="G43" s="23" t="inlineStr">
        <is>
          <t>1. Log in with the rejected logistics account.
2. Replace the Mayor's / Business Permit.
3. Click Resubmit.</t>
        </is>
      </c>
      <c r="H43" s="23" t="inlineStr">
        <is>
          <t>Mayor's / Business Permit: mayors_permit_2026.pdf (1.2 MB)</t>
        </is>
      </c>
      <c r="I43" s="23" t="inlineStr">
        <is>
          <t>Status returns to Pending Approval and the application appears again in the admin's pending list with the new document.</t>
        </is>
      </c>
      <c r="J43" s="4" t="inlineStr">
        <is>
          <t>A12</t>
        </is>
      </c>
      <c r="K43" s="5" t="inlineStr">
        <is>
          <t>No resubmit option. The rejected account cannot log in or replace documents.</t>
        </is>
      </c>
      <c r="L43" s="6" t="inlineStr">
        <is>
          <t>Fail</t>
        </is>
      </c>
      <c r="M43" s="5" t="inlineStr">
        <is>
          <t>Resubmission not implemented.</t>
        </is>
      </c>
    </row>
    <row r="44" ht="39.6" customHeight="1">
      <c r="A44" s="2" t="inlineStr">
        <is>
          <t>TC-LOG-043</t>
        </is>
      </c>
      <c r="B44" s="23" t="inlineStr">
        <is>
          <t>Access Control</t>
        </is>
      </c>
      <c r="C44" s="23" t="inlineStr">
        <is>
          <t>Non-admin opens the approval page</t>
        </is>
      </c>
      <c r="D44" s="23" t="inlineStr">
        <is>
          <t>Error Guessing</t>
        </is>
      </c>
      <c r="E44" s="4" t="inlineStr">
        <is>
          <t>High</t>
        </is>
      </c>
      <c r="F44" s="23" t="inlineStr">
        <is>
          <t>The buyer account juanmiguel.delacruz@example.com is logged in.</t>
        </is>
      </c>
      <c r="G44" s="23" t="inlineStr">
        <is>
          <t>1. Paste the address of the admin's logistics applications page into the browser.
2. Press Enter.</t>
        </is>
      </c>
      <c r="H44" s="23" t="inlineStr">
        <is>
          <t>Admin page for logistics applications (copy the address while logged in as admin)</t>
        </is>
      </c>
      <c r="I44" s="23" t="inlineStr">
        <is>
          <t>Access is denied (error 403 or redirect). No application data is shown and no Approve or Reject action is possible.</t>
        </is>
      </c>
      <c r="J44" s="4" t="inlineStr">
        <is>
          <t>A16</t>
        </is>
      </c>
      <c r="K44" s="5" t="inlineStr">
        <is>
          <t>Error 403 on the admin Approvals and Logistics pages.</t>
        </is>
      </c>
      <c r="L44" s="6" t="inlineStr">
        <is>
          <t>Pass</t>
        </is>
      </c>
      <c r="M44" s="5" t="n"/>
    </row>
    <row r="45" ht="39.6" customHeight="1">
      <c r="A45" s="2" t="inlineStr">
        <is>
          <t>TC-LOG-044</t>
        </is>
      </c>
      <c r="B45" s="23" t="inlineStr">
        <is>
          <t>Access Control</t>
        </is>
      </c>
      <c r="C45" s="23" t="inlineStr">
        <is>
          <t>Open another role's pages</t>
        </is>
      </c>
      <c r="D45" s="23" t="inlineStr">
        <is>
          <t>Error Guessing</t>
        </is>
      </c>
      <c r="E45" s="4" t="inlineStr">
        <is>
          <t>Medium</t>
        </is>
      </c>
      <c r="F45" s="23" t="inlineStr">
        <is>
          <t>The Approved logistics account operations@bilishatid.example.com is logged in.</t>
        </is>
      </c>
      <c r="G45" s="23" t="inlineStr">
        <is>
          <t>1. Paste the address of each dashboard in the test data into the browser, one at a time.</t>
        </is>
      </c>
      <c r="H45" s="23" t="inlineStr">
        <is>
          <t>Admin dashboard
Seller dashboard
Rider dashboard</t>
        </is>
      </c>
      <c r="I45" s="23" t="inlineStr">
        <is>
          <t>Access is denied each time (error 403 or redirect). No data from the other role is shown.</t>
        </is>
      </c>
      <c r="J45" s="4" t="inlineStr">
        <is>
          <t>A16</t>
        </is>
      </c>
      <c r="K45" s="5" t="inlineStr">
        <is>
          <t>Error 403 for the admin, seller and rider dashboards.</t>
        </is>
      </c>
      <c r="L45" s="6" t="inlineStr">
        <is>
          <t>Pass</t>
        </is>
      </c>
      <c r="M45" s="5" t="n"/>
    </row>
  </sheetData>
  <autoFilter ref="A1:M45"/>
  <conditionalFormatting sqref="L2:L45">
    <cfRule type="cellIs" priority="2" operator="equal" dxfId="2">
      <formula>"Pass"</formula>
    </cfRule>
    <cfRule type="cellIs" priority="3" operator="equal" dxfId="1">
      <formula>"Fail"</formula>
    </cfRule>
    <cfRule type="cellIs" priority="4" operator="equal" dxfId="0">
      <formula>"Blocked"</formula>
    </cfRule>
  </conditionalFormatting>
  <dataValidations count="1">
    <dataValidation sqref="L2:L45" showDropDown="0" showInputMessage="0" showErrorMessage="0" allowBlank="0" errorTitle="Invalid status" error="Choose Pass, Fail, Blocked or Not Run." type="list">
      <formula1>"Pass,Fail,Blocked,Not Run"</formula1>
    </dataValidation>
  </dataValidations>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M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ColWidth="8.6640625" defaultRowHeight="14.4"/>
  <cols>
    <col width="12"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1" t="inlineStr">
        <is>
          <t>Test Case ID</t>
        </is>
      </c>
      <c r="B1" s="1" t="inlineStr">
        <is>
          <t>Module</t>
        </is>
      </c>
      <c r="C1" s="1" t="inlineStr">
        <is>
          <t>Test Scenario</t>
        </is>
      </c>
      <c r="D1" s="1" t="inlineStr">
        <is>
          <t>Technique</t>
        </is>
      </c>
      <c r="E1" s="1" t="inlineStr">
        <is>
          <t>Priority</t>
        </is>
      </c>
      <c r="F1" s="1" t="inlineStr">
        <is>
          <t>Preconditions</t>
        </is>
      </c>
      <c r="G1" s="1" t="inlineStr">
        <is>
          <t>Test Steps</t>
        </is>
      </c>
      <c r="H1" s="1" t="inlineStr">
        <is>
          <t>Test Data</t>
        </is>
      </c>
      <c r="I1" s="1" t="inlineStr">
        <is>
          <t>Expected Result</t>
        </is>
      </c>
      <c r="J1" s="1" t="inlineStr">
        <is>
          <t>Assumption Ref</t>
        </is>
      </c>
      <c r="K1" s="1" t="inlineStr">
        <is>
          <t>Actual Result</t>
        </is>
      </c>
      <c r="L1" s="1" t="inlineStr">
        <is>
          <t>Status</t>
        </is>
      </c>
      <c r="M1" s="1" t="inlineStr">
        <is>
          <t>Remarks</t>
        </is>
      </c>
    </row>
    <row r="2" ht="171.6" customHeight="1">
      <c r="A2" s="2" t="inlineStr">
        <is>
          <t>TC-RID-001</t>
        </is>
      </c>
      <c r="B2" s="23" t="inlineStr">
        <is>
          <t>Add Rider Form</t>
        </is>
      </c>
      <c r="C2" s="23" t="inlineStr">
        <is>
          <t>Create a rider with all valid data</t>
        </is>
      </c>
      <c r="D2" s="23" t="inlineStr">
        <is>
          <t>Use Case Testing</t>
        </is>
      </c>
      <c r="E2" s="4" t="inlineStr">
        <is>
          <t>High</t>
        </is>
      </c>
      <c r="F2" s="23" t="inlineStr">
        <is>
          <t>The Approved logistics account operations@bilishatid.example.com is logged in and the Add Rider form is open. The email, mobile number, license number and plate number in the test data are not yet registered.</t>
        </is>
      </c>
      <c r="G2" s="23" t="inlineStr">
        <is>
          <t>1. Fill in every field with the test data.
2. Click Save.</t>
        </is>
      </c>
      <c r="H2" s="23" t="inlineStr">
        <is>
          <t>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is>
      </c>
      <c r="I2" s="23" t="inlineStr">
        <is>
          <t>The rider is saved with no validation errors and appears in the rider list of Bilis Hatid Express Inc. with status Pending Activation. An activation email is sent to pedrojose.garcia@example.com.</t>
        </is>
      </c>
      <c r="J2" s="4" t="inlineStr">
        <is>
          <t>A1, A13</t>
        </is>
      </c>
      <c r="K2" s="5" t="inlineStr">
        <is>
          <t>Pedro Jose Garcia's application to Bilis Hatid Express Inc. was saved and appears in its rider list as Pending. The email sent was a 6-digit verification code, not an activation link.</t>
        </is>
      </c>
      <c r="L2" s="6" t="inlineStr">
        <is>
          <t>Fail</t>
        </is>
      </c>
      <c r="M2" s="5" t="inlineStr">
        <is>
          <t>Run through the public rider application (Register &gt; Become a rider); logistics accounts have no Add Rider form (see Assumptions A13). Date of Birth, License Expiry Date and document uploads are not on the form.</t>
        </is>
      </c>
    </row>
    <row r="3" ht="52.8" customHeight="1">
      <c r="A3" s="2" t="inlineStr">
        <is>
          <t>TC-RID-002</t>
        </is>
      </c>
      <c r="B3" s="23" t="inlineStr">
        <is>
          <t>Required Fields</t>
        </is>
      </c>
      <c r="C3" s="23" t="inlineStr">
        <is>
          <t>Submit a completely empty form</t>
        </is>
      </c>
      <c r="D3" s="23" t="inlineStr">
        <is>
          <t>Equivalence Partitioning</t>
        </is>
      </c>
      <c r="E3" s="4" t="inlineStr">
        <is>
          <t>High</t>
        </is>
      </c>
      <c r="F3" s="23" t="inlineStr">
        <is>
          <t>The Approved logistics account operations@bilishatid.example.com is logged in and the Add Rider form is open.</t>
        </is>
      </c>
      <c r="G3" s="23" t="inlineStr">
        <is>
          <t>1. Leave every field blank and every dropdown on its default option.
2. Click Save.</t>
        </is>
      </c>
      <c r="H3" s="23" t="inlineStr">
        <is>
          <t>All fields blank</t>
        </is>
      </c>
      <c r="I3" s="23" t="inlineStr">
        <is>
          <t>Saving is blocked. A required-field message is shown for every mandatory field. No rider is created and no email is sent.</t>
        </is>
      </c>
      <c r="J3" s="4" t="inlineStr">
        <is>
          <t>A1</t>
        </is>
      </c>
      <c r="K3" s="5" t="inlineStr">
        <is>
          <t>Blocked. Required messages for First Name, Last Name, Mobile Number, Email, Password, logistics partner, Vehicle Type and Plate Number. No account created.</t>
        </is>
      </c>
      <c r="L3" s="6" t="inlineStr">
        <is>
          <t>Pass</t>
        </is>
      </c>
      <c r="M3" s="5" t="inlineStr">
        <is>
          <t>Run through the public rider application (Register &gt; Become a rider); logistics accounts have no Add Rider form (see Assumptions A13).</t>
        </is>
      </c>
    </row>
    <row r="4" ht="158.4" customHeight="1">
      <c r="A4" s="2" t="inlineStr">
        <is>
          <t>TC-RID-003</t>
        </is>
      </c>
      <c r="B4" s="23" t="inlineStr">
        <is>
          <t>Required Fields</t>
        </is>
      </c>
      <c r="C4" s="23" t="inlineStr">
        <is>
          <t>Leave one required field blank at a time</t>
        </is>
      </c>
      <c r="D4" s="23" t="inlineStr">
        <is>
          <t>Equivalence Partitioning</t>
        </is>
      </c>
      <c r="E4" s="4" t="inlineStr">
        <is>
          <t>High</t>
        </is>
      </c>
      <c r="F4" s="23" t="inlineStr">
        <is>
          <t>The Approved logistics account operations@bilishatid.example.com is logged in and the Add Rider form is open.</t>
        </is>
      </c>
      <c r="G4" s="23" t="inlineStr">
        <is>
          <t>1. Fill in all fields with valid data.
2. Clear one required field.
3. Click Save.
4. Repeat for each field in the test data.</t>
        </is>
      </c>
      <c r="H4" s="23" t="inlineStr">
        <is>
          <t>Clear in turn:
First Name
Last Name
Date of Birth
Email
Mobile Number
Driver's License No.
License Expiry Date
Vehicle Type
Plate Number
Driver's License (upload)
Vehicle OR/CR (upload)</t>
        </is>
      </c>
      <c r="I4" s="23" t="inlineStr">
        <is>
          <t>Each time, saving is blocked and a required-field message is shown on the blank field only. Other entered values (except uploads) are kept. No rider is created.</t>
        </is>
      </c>
      <c r="J4" s="4" t="inlineStr">
        <is>
          <t>A1</t>
        </is>
      </c>
      <c r="K4" s="5" t="inlineStr">
        <is>
          <t>Each blank field was blocked with its own message, except Driver's License No.: a blank license was accepted and the application created.</t>
        </is>
      </c>
      <c r="L4" s="6" t="inlineStr">
        <is>
          <t>Fail</t>
        </is>
      </c>
      <c r="M4" s="5" t="inlineStr">
        <is>
          <t>Driver's License No. is optional. Date of Birth, License Expiry Date and uploads are not on the form. Run through the public rider application (Register &gt; Become a rider); logistics accounts have no Add Rider form (see Assumptions A13).</t>
        </is>
      </c>
    </row>
    <row r="5" ht="52.8" customHeight="1">
      <c r="A5" s="2" t="inlineStr">
        <is>
          <t>TC-RID-004</t>
        </is>
      </c>
      <c r="B5" s="23" t="inlineStr">
        <is>
          <t>Name</t>
        </is>
      </c>
      <c r="C5" s="23" t="inlineStr">
        <is>
          <t>Name with numbers or symbols</t>
        </is>
      </c>
      <c r="D5" s="23" t="inlineStr">
        <is>
          <t>Equivalence Partitioning</t>
        </is>
      </c>
      <c r="E5" s="4" t="inlineStr">
        <is>
          <t>Medium</t>
        </is>
      </c>
      <c r="F5" s="23" t="inlineStr">
        <is>
          <t>The Approved logistics account operations@bilishatid.example.com is logged in and the Add Rider form is open.</t>
        </is>
      </c>
      <c r="G5" s="23" t="inlineStr">
        <is>
          <t>1. Fill in all other fields with valid data.
2. Enter the test data in the name fields.
3. Click Save.</t>
        </is>
      </c>
      <c r="H5" s="23" t="inlineStr">
        <is>
          <t>First Name: Pedro Jose99
Last Name: Dela Cruz@#</t>
        </is>
      </c>
      <c r="I5" s="23" t="inlineStr">
        <is>
          <t>Saving is blocked. A message on each name field says only letters are allowed.</t>
        </is>
      </c>
      <c r="J5" s="4" t="inlineStr">
        <is>
          <t>A2</t>
        </is>
      </c>
      <c r="K5" s="5" t="inlineStr">
        <is>
          <t>The browser removes digits and symbols; the server rejects both names with the letters-only message.</t>
        </is>
      </c>
      <c r="L5" s="6" t="inlineStr">
        <is>
          <t>Pass</t>
        </is>
      </c>
      <c r="M5" s="5" t="inlineStr">
        <is>
          <t>Run through the public rider application (Register &gt; Become a rider); logistics accounts have no Add Rider form (see Assumptions A13).</t>
        </is>
      </c>
    </row>
    <row r="6" ht="92.40000000000001" customHeight="1">
      <c r="A6" s="2" t="inlineStr">
        <is>
          <t>TC-RID-005</t>
        </is>
      </c>
      <c r="B6" s="23" t="inlineStr">
        <is>
          <t>Name</t>
        </is>
      </c>
      <c r="C6" s="23" t="inlineStr">
        <is>
          <t>Name length at the limits</t>
        </is>
      </c>
      <c r="D6" s="23" t="inlineStr">
        <is>
          <t>Boundary Value Analysis</t>
        </is>
      </c>
      <c r="E6" s="4" t="inlineStr">
        <is>
          <t>Medium</t>
        </is>
      </c>
      <c r="F6" s="23" t="inlineStr">
        <is>
          <t>The Approved logistics account operations@bilishatid.example.com is logged in and the Add Rider form is open. The email, mobile number, license number and plate number in the test data are not yet registered.</t>
        </is>
      </c>
      <c r="G6" s="23" t="inlineStr">
        <is>
          <t>1. Fill in all other fields with valid data.
2. Enter each first name in the test data, one per attempt.
3. Click Save.</t>
        </is>
      </c>
      <c r="H6" s="23" t="inlineStr">
        <is>
          <t>1 character: P (reject)
2 characters: Po (accept)
50 characters: Maria Cristina Angelica Bernadette Josefina Leonor (accept)
51 characters: Maria Cristina Angelica Bernadette Josefina Leonora (reject)</t>
        </is>
      </c>
      <c r="I6" s="23" t="inlineStr">
        <is>
          <t>1 and 51 characters are rejected with a length message. 2 and 50 characters are accepted.</t>
        </is>
      </c>
      <c r="J6" s="4" t="inlineStr">
        <is>
          <t>A2</t>
        </is>
      </c>
      <c r="K6" s="5" t="inlineStr">
        <is>
          <t>All four names accepted, including 1 and 51 characters.</t>
        </is>
      </c>
      <c r="L6" s="6" t="inlineStr">
        <is>
          <t>Fail</t>
        </is>
      </c>
      <c r="M6" s="5" t="inlineStr">
        <is>
          <t>Names allow 1 to 100 characters.</t>
        </is>
      </c>
    </row>
    <row r="7" ht="92.40000000000001" customHeight="1">
      <c r="A7" s="2" t="inlineStr">
        <is>
          <t>TC-RID-006</t>
        </is>
      </c>
      <c r="B7" s="23" t="inlineStr">
        <is>
          <t>Date of Birth</t>
        </is>
      </c>
      <c r="C7" s="23" t="inlineStr">
        <is>
          <t>Age at the 18-year limit</t>
        </is>
      </c>
      <c r="D7" s="23" t="inlineStr">
        <is>
          <t>Boundary Value Analysis</t>
        </is>
      </c>
      <c r="E7" s="4" t="inlineStr">
        <is>
          <t>High</t>
        </is>
      </c>
      <c r="F7" s="23" t="inlineStr">
        <is>
          <t>The Approved logistics account operations@bilishatid.example.com is logged in and the Add Rider form is open. The email, mobile number, license number and plate number in the test data are not yet registered.</t>
        </is>
      </c>
      <c r="G7" s="23" t="inlineStr">
        <is>
          <t>1. Fill in all other fields with valid data.
2. Enter each date of birth in the test data, one per attempt.
3. Click Save.</t>
        </is>
      </c>
      <c r="H7" s="23">
        <f>"Born "&amp;TEXT(EDATE(TODAY(),-216)+1,"mm/dd/yyyy")&amp;" (17 years old, reject)"&amp;CHAR(10)&amp;"Born "&amp;TEXT(EDATE(TODAY(),-216),"mm/dd/yyyy")&amp;" (turns 18 today, accept)"&amp;CHAR(10)&amp;"Born "&amp;TEXT(EDATE(TODAY(),-216)-1,"mm/dd/yyyy")&amp;" (18 years and 1 day, accept)"</f>
        <v/>
      </c>
      <c r="I7" s="23" t="inlineStr">
        <is>
          <t>The 17-year-old date is rejected with a message that the person must be at least 18. The other two dates are accepted.</t>
        </is>
      </c>
      <c r="J7" s="4" t="inlineStr">
        <is>
          <t>A6</t>
        </is>
      </c>
      <c r="K7" s="5" t="inlineStr">
        <is>
          <t>There is no Date of Birth field on the rider application, so age is not checked.</t>
        </is>
      </c>
      <c r="L7" s="6" t="inlineStr">
        <is>
          <t>Fail</t>
        </is>
      </c>
      <c r="M7" s="5" t="inlineStr">
        <is>
          <t>Rider age not collected.</t>
        </is>
      </c>
    </row>
    <row r="8" ht="79.2" customHeight="1">
      <c r="A8" s="2" t="inlineStr">
        <is>
          <t>TC-RID-007</t>
        </is>
      </c>
      <c r="B8" s="23" t="inlineStr">
        <is>
          <t>Email</t>
        </is>
      </c>
      <c r="C8" s="23" t="inlineStr">
        <is>
          <t>Email in an invalid format</t>
        </is>
      </c>
      <c r="D8" s="23" t="inlineStr">
        <is>
          <t>Equivalence Partitioning</t>
        </is>
      </c>
      <c r="E8" s="4" t="inlineStr">
        <is>
          <t>High</t>
        </is>
      </c>
      <c r="F8" s="23" t="inlineStr">
        <is>
          <t>The Approved logistics account operations@bilishatid.example.com is logged in and the Add Rider form is open.</t>
        </is>
      </c>
      <c r="G8" s="23" t="inlineStr">
        <is>
          <t>1. Fill in all other fields with valid data.
2. Enter each email in the test data, one per attempt.
3. Click Save.</t>
        </is>
      </c>
      <c r="H8" s="23" t="inlineStr">
        <is>
          <t>pedrojose.garciaexample.com (no @)
pedrojose.garcia@ (no domain)
@example.com (no name)
pedrojose.garcia@example (no .com)
pedrojose garcia@example.com (space)</t>
        </is>
      </c>
      <c r="I8" s="23" t="inlineStr">
        <is>
          <t>Each value is rejected with a message asking for a valid email address. No rider is created.</t>
        </is>
      </c>
      <c r="J8" s="4" t="inlineStr">
        <is>
          <t>A3</t>
        </is>
      </c>
      <c r="K8" s="5" t="inlineStr">
        <is>
          <t>Four of five rejected. "pedrojose.garcia@example" (no .com) was accepted.</t>
        </is>
      </c>
      <c r="L8" s="6" t="inlineStr">
        <is>
          <t>Fail</t>
        </is>
      </c>
      <c r="M8" s="5" t="inlineStr">
        <is>
          <t>Emails without a domain extension are accepted.</t>
        </is>
      </c>
    </row>
    <row r="9" ht="79.2" customHeight="1">
      <c r="A9" s="2" t="inlineStr">
        <is>
          <t>TC-RID-008</t>
        </is>
      </c>
      <c r="B9" s="23" t="inlineStr">
        <is>
          <t>Email</t>
        </is>
      </c>
      <c r="C9" s="23" t="inlineStr">
        <is>
          <t>Email already used by an account of another role</t>
        </is>
      </c>
      <c r="D9" s="23" t="inlineStr">
        <is>
          <t>Equivalence Partitioning</t>
        </is>
      </c>
      <c r="E9" s="4" t="inlineStr">
        <is>
          <t>High</t>
        </is>
      </c>
      <c r="F9" s="23" t="inlineStr">
        <is>
          <t>The Approved logistics account operations@bilishatid.example.com is logged in and the Add Rider form is open. The buyer account juanmiguel.delacruz@example.com already exists.</t>
        </is>
      </c>
      <c r="G9" s="23" t="inlineStr">
        <is>
          <t>1. Fill in all other fields with valid data.
2. Enter the existing email.
3. Click Save.</t>
        </is>
      </c>
      <c r="H9" s="23" t="inlineStr">
        <is>
          <t>Email: juanmiguel.delacruz@example.com</t>
        </is>
      </c>
      <c r="I9" s="23" t="inlineStr">
        <is>
          <t>Saving is blocked. A message says the email is already in use. No rider is created.</t>
        </is>
      </c>
      <c r="J9" s="4" t="inlineStr">
        <is>
          <t>A3</t>
        </is>
      </c>
      <c r="K9" s="5" t="inlineStr">
        <is>
          <t>Blocked with "The email has already been taken." No rider created.</t>
        </is>
      </c>
      <c r="L9" s="6" t="inlineStr">
        <is>
          <t>Pass</t>
        </is>
      </c>
      <c r="M9" s="5" t="n"/>
    </row>
    <row r="10" ht="52.8" customHeight="1">
      <c r="A10" s="2" t="inlineStr">
        <is>
          <t>TC-RID-009</t>
        </is>
      </c>
      <c r="B10" s="23" t="inlineStr">
        <is>
          <t>Mobile Number</t>
        </is>
      </c>
      <c r="C10" s="23" t="inlineStr">
        <is>
          <t>Mobile number in an invalid format</t>
        </is>
      </c>
      <c r="D10" s="23" t="inlineStr">
        <is>
          <t>Equivalence Partitioning</t>
        </is>
      </c>
      <c r="E10" s="4" t="inlineStr">
        <is>
          <t>High</t>
        </is>
      </c>
      <c r="F10" s="23" t="inlineStr">
        <is>
          <t>The Approved logistics account operations@bilishatid.example.com is logged in and the Add Rider form is open.</t>
        </is>
      </c>
      <c r="G10" s="23" t="inlineStr">
        <is>
          <t>1. Fill in all other fields with valid data.
2. Enter each mobile number in the test data, one per attempt.
3. Click Save.</t>
        </is>
      </c>
      <c r="H10" s="23" t="inlineStr">
        <is>
          <t>0917ABC4567 (letters)
0917-123-456 (symbols, too short)
12345678901 (does not start with 09)
02-8123-4567 (landline)</t>
        </is>
      </c>
      <c r="I10" s="23" t="inlineStr">
        <is>
          <t>Each value is rejected with a message asking for a valid mobile number.</t>
        </is>
      </c>
      <c r="J10" s="4" t="inlineStr">
        <is>
          <t>A4</t>
        </is>
      </c>
      <c r="K10" s="5" t="inlineStr">
        <is>
          <t>Each value rejected with the 11-digit 09 message.</t>
        </is>
      </c>
      <c r="L10" s="6" t="inlineStr">
        <is>
          <t>Pass</t>
        </is>
      </c>
      <c r="M10" s="5" t="n"/>
    </row>
    <row r="11" ht="92.40000000000001" customHeight="1">
      <c r="A11" s="2" t="inlineStr">
        <is>
          <t>TC-RID-010</t>
        </is>
      </c>
      <c r="B11" s="23" t="inlineStr">
        <is>
          <t>Mobile Number</t>
        </is>
      </c>
      <c r="C11" s="23" t="inlineStr">
        <is>
          <t>Mobile number length at the limits</t>
        </is>
      </c>
      <c r="D11" s="23" t="inlineStr">
        <is>
          <t>Boundary Value Analysis</t>
        </is>
      </c>
      <c r="E11" s="4" t="inlineStr">
        <is>
          <t>High</t>
        </is>
      </c>
      <c r="F11" s="23" t="inlineStr">
        <is>
          <t>The Approved logistics account operations@bilishatid.example.com is logged in and the Add Rider form is open. The email, mobile number, license number and plate number in the test data are not yet registered.</t>
        </is>
      </c>
      <c r="G11" s="23" t="inlineStr">
        <is>
          <t>1. Fill in all other fields with valid data.
2. Enter each mobile number in the test data, one per attempt.
3. Click Save.</t>
        </is>
      </c>
      <c r="H11" s="23" t="inlineStr">
        <is>
          <t>10 digits: 0917123456 (reject)
11 digits: 09170000001 (accept)
12 digits: 091712345678 (reject)</t>
        </is>
      </c>
      <c r="I11" s="23" t="inlineStr">
        <is>
          <t>10 and 12 digits are rejected with a length message. 11 digits is accepted.</t>
        </is>
      </c>
      <c r="J11" s="4" t="inlineStr">
        <is>
          <t>A4</t>
        </is>
      </c>
      <c r="K11" s="5" t="inlineStr">
        <is>
          <t>10 digits rejected, 11 accepted, 12 cannot be typed and is rejected by the server.</t>
        </is>
      </c>
      <c r="L11" s="6" t="inlineStr">
        <is>
          <t>Pass</t>
        </is>
      </c>
      <c r="M11" s="5" t="n"/>
    </row>
    <row r="12" ht="79.2" customHeight="1">
      <c r="A12" s="2" t="inlineStr">
        <is>
          <t>TC-RID-011</t>
        </is>
      </c>
      <c r="B12" s="23" t="inlineStr">
        <is>
          <t>Mobile Number</t>
        </is>
      </c>
      <c r="C12" s="23" t="inlineStr">
        <is>
          <t>Mobile number that is already registered</t>
        </is>
      </c>
      <c r="D12" s="23" t="inlineStr">
        <is>
          <t>Equivalence Partitioning</t>
        </is>
      </c>
      <c r="E12" s="4" t="inlineStr">
        <is>
          <t>Medium</t>
        </is>
      </c>
      <c r="F12" s="23" t="inlineStr">
        <is>
          <t>The Approved logistics account operations@bilishatid.example.com is logged in and the Add Rider form is open. An account already exists with mobile number 09171234567.</t>
        </is>
      </c>
      <c r="G12" s="23" t="inlineStr">
        <is>
          <t>1. Fill in all other fields with valid data.
2. Enter the existing mobile number.
3. Click Save.</t>
        </is>
      </c>
      <c r="H12" s="23" t="inlineStr">
        <is>
          <t>Mobile: 09171234567</t>
        </is>
      </c>
      <c r="I12" s="23" t="inlineStr">
        <is>
          <t>Saving is blocked. A message says the mobile number is already in use.</t>
        </is>
      </c>
      <c r="J12" s="4" t="inlineStr">
        <is>
          <t>A4</t>
        </is>
      </c>
      <c r="K12" s="5" t="inlineStr">
        <is>
          <t>Accepted. Another account was created with 09171234567.</t>
        </is>
      </c>
      <c r="L12" s="6" t="inlineStr">
        <is>
          <t>Fail</t>
        </is>
      </c>
      <c r="M12" s="5" t="inlineStr">
        <is>
          <t>Mobile numbers are not checked for duplicates.</t>
        </is>
      </c>
    </row>
    <row r="13" ht="52.8" customHeight="1">
      <c r="A13" s="2" t="inlineStr">
        <is>
          <t>TC-RID-012</t>
        </is>
      </c>
      <c r="B13" s="23" t="inlineStr">
        <is>
          <t>License and Vehicle</t>
        </is>
      </c>
      <c r="C13" s="23" t="inlineStr">
        <is>
          <t>Driver's license number in an invalid format</t>
        </is>
      </c>
      <c r="D13" s="23" t="inlineStr">
        <is>
          <t>Equivalence Partitioning</t>
        </is>
      </c>
      <c r="E13" s="4" t="inlineStr">
        <is>
          <t>High</t>
        </is>
      </c>
      <c r="F13" s="23" t="inlineStr">
        <is>
          <t>The Approved logistics account operations@bilishatid.example.com is logged in and the Add Rider form is open.</t>
        </is>
      </c>
      <c r="G13" s="23" t="inlineStr">
        <is>
          <t>1. Fill in all other fields with valid data.
2. Enter each license number in the test data, one per attempt.
3. Click Save.</t>
        </is>
      </c>
      <c r="H13" s="23" t="inlineStr">
        <is>
          <t>N01-23-45678 (one digit short)
N01-23-4567890 (one digit extra)
101-23-456789 (no letter)
N0123456789X (letter at the end)</t>
        </is>
      </c>
      <c r="I13" s="23" t="inlineStr">
        <is>
          <t>Each value is rejected with a message showing the format A00-00-000000.</t>
        </is>
      </c>
      <c r="J13" s="4" t="inlineStr">
        <is>
          <t>A15</t>
        </is>
      </c>
      <c r="K13" s="5" t="inlineStr">
        <is>
          <t>All four values were accepted and saved as typed (for example "N0123456789X").</t>
        </is>
      </c>
      <c r="L13" s="6" t="inlineStr">
        <is>
          <t>Fail</t>
        </is>
      </c>
      <c r="M13" s="5" t="inlineStr">
        <is>
          <t>The license number has no format check (free text, up to 40 characters).</t>
        </is>
      </c>
    </row>
    <row r="14" ht="79.2" customHeight="1">
      <c r="A14" s="2" t="inlineStr">
        <is>
          <t>TC-RID-013</t>
        </is>
      </c>
      <c r="B14" s="23" t="inlineStr">
        <is>
          <t>License and Vehicle</t>
        </is>
      </c>
      <c r="C14" s="23" t="inlineStr">
        <is>
          <t>Driver's license number already registered</t>
        </is>
      </c>
      <c r="D14" s="23" t="inlineStr">
        <is>
          <t>Equivalence Partitioning</t>
        </is>
      </c>
      <c r="E14" s="4" t="inlineStr">
        <is>
          <t>High</t>
        </is>
      </c>
      <c r="F14" s="23" t="inlineStr">
        <is>
          <t>The Approved logistics account operations@bilishatid.example.com is logged in and the Add Rider form is open. The rider pedrojose.garcia@example.com already exists.</t>
        </is>
      </c>
      <c r="G14" s="23" t="inlineStr">
        <is>
          <t>1. Fill in all other fields with valid data.
2. Enter the existing license number.
3. Click Save.</t>
        </is>
      </c>
      <c r="H14" s="23" t="inlineStr">
        <is>
          <t>Driver's License No.: N01-23-456789</t>
        </is>
      </c>
      <c r="I14" s="23" t="inlineStr">
        <is>
          <t>Saving is blocked. A message says the license number is already registered.</t>
        </is>
      </c>
      <c r="J14" s="4" t="inlineStr">
        <is>
          <t>A14</t>
        </is>
      </c>
      <c r="K14" s="5" t="inlineStr">
        <is>
          <t>Accepted. Another rider was saved with license N01-23-456789.</t>
        </is>
      </c>
      <c r="L14" s="6" t="inlineStr">
        <is>
          <t>Fail</t>
        </is>
      </c>
      <c r="M14" s="5" t="inlineStr">
        <is>
          <t>License numbers are not checked for duplicates.</t>
        </is>
      </c>
    </row>
    <row r="15" ht="92.40000000000001" customHeight="1">
      <c r="A15" s="2" t="inlineStr">
        <is>
          <t>TC-RID-014</t>
        </is>
      </c>
      <c r="B15" s="23" t="inlineStr">
        <is>
          <t>License and Vehicle</t>
        </is>
      </c>
      <c r="C15" s="23" t="inlineStr">
        <is>
          <t>License expiry date at the limit</t>
        </is>
      </c>
      <c r="D15" s="23" t="inlineStr">
        <is>
          <t>Boundary Value Analysis</t>
        </is>
      </c>
      <c r="E15" s="4" t="inlineStr">
        <is>
          <t>High</t>
        </is>
      </c>
      <c r="F15" s="23" t="inlineStr">
        <is>
          <t>The Approved logistics account operations@bilishatid.example.com is logged in and the Add Rider form is open. The email, mobile number, license number and plate number in the test data are not yet registered.</t>
        </is>
      </c>
      <c r="G15" s="23" t="inlineStr">
        <is>
          <t>1. Fill in all other fields with valid data.
2. Enter each expiry date in the test data, one per attempt.
3. Click Save.</t>
        </is>
      </c>
      <c r="H15" s="23">
        <f>"Expiry "&amp;TEXT(TODAY()-1,"mm/dd/yyyy")&amp;" (yesterday, reject)"&amp;CHAR(10)&amp;"Expiry "&amp;TEXT(TODAY(),"mm/dd/yyyy")&amp;" (today, accept)"&amp;CHAR(10)&amp;"Expiry "&amp;TEXT(TODAY()+1,"mm/dd/yyyy")&amp;" (tomorrow, accept)"</f>
        <v/>
      </c>
      <c r="I15" s="23" t="inlineStr">
        <is>
          <t>Yesterday's date is rejected with a message that the license is expired. Today's and tomorrow's dates are accepted.</t>
        </is>
      </c>
      <c r="J15" s="4" t="inlineStr">
        <is>
          <t>A15</t>
        </is>
      </c>
      <c r="K15" s="5" t="inlineStr">
        <is>
          <t>There is no License Expiry Date field.</t>
        </is>
      </c>
      <c r="L15" s="6" t="inlineStr">
        <is>
          <t>Fail</t>
        </is>
      </c>
      <c r="M15" s="5" t="inlineStr">
        <is>
          <t>License expiry not collected.</t>
        </is>
      </c>
    </row>
    <row r="16" ht="79.2" customHeight="1">
      <c r="A16" s="2" t="inlineStr">
        <is>
          <t>TC-RID-015</t>
        </is>
      </c>
      <c r="B16" s="23" t="inlineStr">
        <is>
          <t>License and Vehicle</t>
        </is>
      </c>
      <c r="C16" s="23" t="inlineStr">
        <is>
          <t>Plate number already registered</t>
        </is>
      </c>
      <c r="D16" s="23" t="inlineStr">
        <is>
          <t>Equivalence Partitioning</t>
        </is>
      </c>
      <c r="E16" s="4" t="inlineStr">
        <is>
          <t>Medium</t>
        </is>
      </c>
      <c r="F16" s="23" t="inlineStr">
        <is>
          <t>The Approved logistics account operations@bilishatid.example.com is logged in and the Add Rider form is open. The rider pedrojose.garcia@example.com already exists.</t>
        </is>
      </c>
      <c r="G16" s="23" t="inlineStr">
        <is>
          <t>1. Fill in all other fields with valid data.
2. Enter the existing plate number.
3. Click Save.</t>
        </is>
      </c>
      <c r="H16" s="23" t="inlineStr">
        <is>
          <t>Plate Number: 123ABC</t>
        </is>
      </c>
      <c r="I16" s="23" t="inlineStr">
        <is>
          <t>Saving is blocked. A message says the plate number is already registered.</t>
        </is>
      </c>
      <c r="J16" s="4" t="inlineStr">
        <is>
          <t>A14</t>
        </is>
      </c>
      <c r="K16" s="5" t="inlineStr">
        <is>
          <t>Accepted. Another rider was saved with plate 123ABC.</t>
        </is>
      </c>
      <c r="L16" s="6" t="inlineStr">
        <is>
          <t>Fail</t>
        </is>
      </c>
      <c r="M16" s="5" t="inlineStr">
        <is>
          <t>Plate numbers are not checked for duplicates.</t>
        </is>
      </c>
    </row>
    <row r="17" ht="92.40000000000001" customHeight="1">
      <c r="A17" s="2" t="inlineStr">
        <is>
          <t>TC-RID-016</t>
        </is>
      </c>
      <c r="B17" s="23" t="inlineStr">
        <is>
          <t>Document Upload</t>
        </is>
      </c>
      <c r="C17" s="23" t="inlineStr">
        <is>
          <t>Upload documents in each accepted file type</t>
        </is>
      </c>
      <c r="D17" s="23" t="inlineStr">
        <is>
          <t>Equivalence Partitioning</t>
        </is>
      </c>
      <c r="E17" s="4" t="inlineStr">
        <is>
          <t>High</t>
        </is>
      </c>
      <c r="F17" s="23" t="inlineStr">
        <is>
          <t>The Approved logistics account operations@bilishatid.example.com is logged in and the Add Rider form is open. The email, mobile number, license number and plate number in the test data are not yet registered.</t>
        </is>
      </c>
      <c r="G17" s="23" t="inlineStr">
        <is>
          <t>1. Fill in all other fields with valid data.
2. Upload the files in the test data.
3. Click Save.</t>
        </is>
      </c>
      <c r="H17" s="23" t="inlineStr">
        <is>
          <t>Driver's License: drivers_license.jpg (1.5 MB), then drivers_license.png (2.0 MB), then drivers_license.pdf (700 KB)
Vehicle OR/CR: or_cr.pdf (900 KB)</t>
        </is>
      </c>
      <c r="I17" s="23" t="inlineStr">
        <is>
          <t>Each file is accepted and its name or preview is shown. The rider is saved.</t>
        </is>
      </c>
      <c r="J17" s="4" t="inlineStr">
        <is>
          <t>A10</t>
        </is>
      </c>
      <c r="K17" s="5" t="inlineStr">
        <is>
          <t>No document upload fields on the rider application.</t>
        </is>
      </c>
      <c r="L17" s="6" t="inlineStr">
        <is>
          <t>Fail</t>
        </is>
      </c>
      <c r="M17" s="5" t="inlineStr">
        <is>
          <t>Rider documents are not collected.</t>
        </is>
      </c>
    </row>
    <row r="18" ht="52.8" customHeight="1">
      <c r="A18" s="2" t="inlineStr">
        <is>
          <t>TC-RID-017</t>
        </is>
      </c>
      <c r="B18" s="23" t="inlineStr">
        <is>
          <t>Document Upload</t>
        </is>
      </c>
      <c r="C18" s="23" t="inlineStr">
        <is>
          <t>Upload a file type that is not accepted</t>
        </is>
      </c>
      <c r="D18" s="23" t="inlineStr">
        <is>
          <t>Equivalence Partitioning</t>
        </is>
      </c>
      <c r="E18" s="4" t="inlineStr">
        <is>
          <t>High</t>
        </is>
      </c>
      <c r="F18" s="23" t="inlineStr">
        <is>
          <t>The Approved logistics account operations@bilishatid.example.com is logged in and the Add Rider form is open.</t>
        </is>
      </c>
      <c r="G18" s="23" t="inlineStr">
        <is>
          <t>1. Fill in all other fields with valid data.
2. Try to upload each file in the test data to Driver's License, one per attempt.
3. Click Save.</t>
        </is>
      </c>
      <c r="H18" s="23" t="inlineStr">
        <is>
          <t>price_list.docx (320 KB)
store_banner.gif (480 KB)
installer.exe (2.1 MB)</t>
        </is>
      </c>
      <c r="I18" s="23" t="inlineStr">
        <is>
          <t>Each file is rejected with a message listing the accepted types (JPG, PNG, PDF). No rider is created.</t>
        </is>
      </c>
      <c r="J18" s="4" t="inlineStr">
        <is>
          <t>A10</t>
        </is>
      </c>
      <c r="K18" s="5" t="inlineStr">
        <is>
          <t>No document upload fields on the rider application.</t>
        </is>
      </c>
      <c r="L18" s="6" t="inlineStr">
        <is>
          <t>Fail</t>
        </is>
      </c>
      <c r="M18" s="5" t="inlineStr">
        <is>
          <t>Rider documents are not collected.</t>
        </is>
      </c>
    </row>
    <row r="19" ht="92.40000000000001" customHeight="1">
      <c r="A19" s="2" t="inlineStr">
        <is>
          <t>TC-RID-018</t>
        </is>
      </c>
      <c r="B19" s="23" t="inlineStr">
        <is>
          <t>Document Upload</t>
        </is>
      </c>
      <c r="C19" s="23" t="inlineStr">
        <is>
          <t>File size at the limit</t>
        </is>
      </c>
      <c r="D19" s="23" t="inlineStr">
        <is>
          <t>Boundary Value Analysis</t>
        </is>
      </c>
      <c r="E19" s="4" t="inlineStr">
        <is>
          <t>High</t>
        </is>
      </c>
      <c r="F19" s="23" t="inlineStr">
        <is>
          <t>The Approved logistics account operations@bilishatid.example.com is logged in and the Add Rider form is open. The email, mobile number, license number and plate number in the test data are not yet registered.</t>
        </is>
      </c>
      <c r="G19" s="23" t="inlineStr">
        <is>
          <t>1. Fill in all other fields with valid data.
2. Upload each file in the test data to Driver's License, one per attempt.
3. Click Save.</t>
        </is>
      </c>
      <c r="H19" s="23" t="inlineStr">
        <is>
          <t>size_4.9MB.jpg (accept)
size_5.0MB.jpg, exactly 5,120 KB (accept)
size_5.1MB.jpg (reject)</t>
        </is>
      </c>
      <c r="I19" s="23" t="inlineStr">
        <is>
          <t>The 4.9 MB and 5.0 MB files are accepted. The 5.1 MB file is rejected with a maximum-size message.</t>
        </is>
      </c>
      <c r="J19" s="4" t="inlineStr">
        <is>
          <t>A10</t>
        </is>
      </c>
      <c r="K19" s="5" t="inlineStr">
        <is>
          <t>No document upload fields on the rider application.</t>
        </is>
      </c>
      <c r="L19" s="6" t="inlineStr">
        <is>
          <t>Fail</t>
        </is>
      </c>
      <c r="M19" s="5" t="inlineStr">
        <is>
          <t>Rider documents are not collected.</t>
        </is>
      </c>
    </row>
    <row r="20" ht="92.40000000000001" customHeight="1">
      <c r="A20" s="2" t="inlineStr">
        <is>
          <t>TC-RID-019</t>
        </is>
      </c>
      <c r="B20" s="23" t="inlineStr">
        <is>
          <t>Add Rider Form</t>
        </is>
      </c>
      <c r="C20" s="23" t="inlineStr">
        <is>
          <t>Click Save several times quickly</t>
        </is>
      </c>
      <c r="D20" s="23" t="inlineStr">
        <is>
          <t>Error Guessing</t>
        </is>
      </c>
      <c r="E20" s="4" t="inlineStr">
        <is>
          <t>Medium</t>
        </is>
      </c>
      <c r="F20" s="23" t="inlineStr">
        <is>
          <t>The Approved logistics account operations@bilishatid.example.com is logged in and the Add Rider form is open. The email, mobile number, license number and plate number in the test data are not yet registered.</t>
        </is>
      </c>
      <c r="G20" s="23" t="inlineStr">
        <is>
          <t>1. Fill in all fields with the Account 2 data from the Test Data sheet.
2. Click Save three times in quick succession.</t>
        </is>
      </c>
      <c r="H20" s="23" t="inlineStr">
        <is>
          <t>Account 2 data (Test Data sheet, column G)</t>
        </is>
      </c>
      <c r="I20" s="23" t="inlineStr">
        <is>
          <t>Only one rider is created and only one activation email is sent.</t>
        </is>
      </c>
      <c r="J20" s="4" t="inlineStr">
        <is>
          <t>A3</t>
        </is>
      </c>
      <c r="K20" s="5" t="inlineStr">
        <is>
          <t>The Register button is disabled after the first click. Three simultaneous submissions created one rider and sent one email.</t>
        </is>
      </c>
      <c r="L20" s="6" t="inlineStr">
        <is>
          <t>Pass</t>
        </is>
      </c>
      <c r="M20" s="5" t="inlineStr">
        <is>
          <t>Run through the public rider application (Register &gt; Become a rider); logistics accounts have no Add Rider form (see Assumptions A13).</t>
        </is>
      </c>
    </row>
    <row r="21" ht="66" customHeight="1">
      <c r="A21" s="2" t="inlineStr">
        <is>
          <t>TC-RID-020</t>
        </is>
      </c>
      <c r="B21" s="23" t="inlineStr">
        <is>
          <t>Account Activation</t>
        </is>
      </c>
      <c r="C21" s="23" t="inlineStr">
        <is>
          <t>Rider activates the account with a valid password</t>
        </is>
      </c>
      <c r="D21" s="23" t="inlineStr">
        <is>
          <t>State Transition</t>
        </is>
      </c>
      <c r="E21" s="4" t="inlineStr">
        <is>
          <t>High</t>
        </is>
      </c>
      <c r="F21" s="23" t="inlineStr">
        <is>
          <t>The rider pedrojose.garcia@example.com has status Pending Activation and the activation email has been read from the mail catcher.</t>
        </is>
      </c>
      <c r="G21" s="23" t="inlineStr">
        <is>
          <t>1. Open the activation link from the email within 24 hours.
2. Enter and confirm the password.
3. Click Activate.</t>
        </is>
      </c>
      <c r="H21" s="23" t="inlineStr">
        <is>
          <t>Password: Rider@2026
Confirm Password: Rider@2026</t>
        </is>
      </c>
      <c r="I21" s="23" t="inlineStr">
        <is>
          <t>The password is saved. The rider's status changes from Pending Activation to Active, and the login page opens with a success message.</t>
        </is>
      </c>
      <c r="J21" s="4" t="inlineStr">
        <is>
          <t>A5, A13</t>
        </is>
      </c>
      <c r="K21" s="5" t="inlineStr">
        <is>
          <t>Could not run: there is no activation link. The rider sets the password on the application form, verifies the email with a code, then waits for the logistics partner to approve.</t>
        </is>
      </c>
      <c r="L21" s="6" t="inlineStr">
        <is>
          <t>Blocked</t>
        </is>
      </c>
      <c r="M21" s="5" t="inlineStr">
        <is>
          <t>Activation flow not implemented (A13).</t>
        </is>
      </c>
    </row>
    <row r="22" ht="66" customHeight="1">
      <c r="A22" s="2" t="inlineStr">
        <is>
          <t>TC-RID-021</t>
        </is>
      </c>
      <c r="B22" s="23" t="inlineStr">
        <is>
          <t>Account Activation</t>
        </is>
      </c>
      <c r="C22" s="23" t="inlineStr">
        <is>
          <t>Set a password that breaks the password rule</t>
        </is>
      </c>
      <c r="D22" s="23" t="inlineStr">
        <is>
          <t>Decision Table</t>
        </is>
      </c>
      <c r="E22" s="4" t="inlineStr">
        <is>
          <t>High</t>
        </is>
      </c>
      <c r="F22" s="23" t="inlineStr">
        <is>
          <t>The rider pedrojose.garcia@example.com has status Pending Activation and the activation email has been read from the mail catcher.</t>
        </is>
      </c>
      <c r="G22" s="23" t="inlineStr">
        <is>
          <t>1. Open the activation link.
2. Enter each password in both fields, one per attempt.
3. Click Activate.</t>
        </is>
      </c>
      <c r="H22" s="23" t="inlineStr">
        <is>
          <t>7 characters: Ride@26
No uppercase: rider@2026
No lowercase: RIDER@2026
No number: Rider@abcd
No special character: Rider2026</t>
        </is>
      </c>
      <c r="I22" s="23" t="inlineStr">
        <is>
          <t>Each password is rejected with a message stating the password rule. The rider stays Pending Activation.</t>
        </is>
      </c>
      <c r="J22" s="4" t="inlineStr">
        <is>
          <t>A5</t>
        </is>
      </c>
      <c r="K22" s="5" t="inlineStr">
        <is>
          <t>On the application form: 7 characters, no uppercase, no lowercase and no special character were rejected. No number ("Rider@abcd") was accepted.</t>
        </is>
      </c>
      <c r="L22" s="6" t="inlineStr">
        <is>
          <t>Fail</t>
        </is>
      </c>
      <c r="M22" s="5" t="inlineStr">
        <is>
          <t>The password rule does not require a number. Run through the public rider application (Register &gt; Become a rider); logistics accounts have no Add Rider form (see Assumptions A13).</t>
        </is>
      </c>
    </row>
    <row r="23" ht="66" customHeight="1">
      <c r="A23" s="2" t="inlineStr">
        <is>
          <t>TC-RID-022</t>
        </is>
      </c>
      <c r="B23" s="23" t="inlineStr">
        <is>
          <t>Account Activation</t>
        </is>
      </c>
      <c r="C23" s="23" t="inlineStr">
        <is>
          <t>Confirm Password does not match</t>
        </is>
      </c>
      <c r="D23" s="23" t="inlineStr">
        <is>
          <t>Equivalence Partitioning</t>
        </is>
      </c>
      <c r="E23" s="4" t="inlineStr">
        <is>
          <t>Medium</t>
        </is>
      </c>
      <c r="F23" s="23" t="inlineStr">
        <is>
          <t>The rider pedrojose.garcia@example.com has status Pending Activation and the activation email has been read from the mail catcher.</t>
        </is>
      </c>
      <c r="G23" s="23" t="inlineStr">
        <is>
          <t>1. Open the activation link.
2. Enter the test data in Password and Confirm Password.
3. Click Activate.</t>
        </is>
      </c>
      <c r="H23" s="23" t="inlineStr">
        <is>
          <t>Password: Rider@2026
Confirm Password: Rider@2027</t>
        </is>
      </c>
      <c r="I23" s="23" t="inlineStr">
        <is>
          <t>Activation is blocked. A message says the passwords do not match.</t>
        </is>
      </c>
      <c r="J23" s="4" t="inlineStr">
        <is>
          <t>A5</t>
        </is>
      </c>
      <c r="K23" s="5" t="inlineStr">
        <is>
          <t>On the application form: blocked with "The password field confirmation does not match."</t>
        </is>
      </c>
      <c r="L23" s="6" t="inlineStr">
        <is>
          <t>Pass</t>
        </is>
      </c>
      <c r="M23" s="5" t="inlineStr">
        <is>
          <t>Run through the public rider application (Register &gt; Become a rider); logistics accounts have no Add Rider form (see Assumptions A13).</t>
        </is>
      </c>
    </row>
    <row r="24" ht="66" customHeight="1">
      <c r="A24" s="2" t="inlineStr">
        <is>
          <t>TC-RID-023</t>
        </is>
      </c>
      <c r="B24" s="23" t="inlineStr">
        <is>
          <t>Account Activation</t>
        </is>
      </c>
      <c r="C24" s="23" t="inlineStr">
        <is>
          <t>Open an expired activation link</t>
        </is>
      </c>
      <c r="D24" s="23" t="inlineStr">
        <is>
          <t>Boundary Value Analysis</t>
        </is>
      </c>
      <c r="E24" s="4" t="inlineStr">
        <is>
          <t>High</t>
        </is>
      </c>
      <c r="F24" s="23" t="inlineStr">
        <is>
          <t>The rider pedrojose.garcia@example.com has status Pending Activation and the activation email has been read from the mail catcher.</t>
        </is>
      </c>
      <c r="G24" s="23" t="inlineStr">
        <is>
          <t>1. Wait until more than 24 hours have passed since the email was sent (or set the link's expiry time back in the test database).
2. Open the activation link.</t>
        </is>
      </c>
      <c r="H24" s="23" t="inlineStr">
        <is>
          <t>Activation link sent 24 hours and 1 minute ago</t>
        </is>
      </c>
      <c r="I24" s="23" t="inlineStr">
        <is>
          <t>A message says the link has expired. No password can be set and the rider stays Pending Activation.</t>
        </is>
      </c>
      <c r="J24" s="4" t="inlineStr">
        <is>
          <t>A13</t>
        </is>
      </c>
      <c r="K24" s="5" t="inlineStr">
        <is>
          <t>Could not run: there is no activation link.</t>
        </is>
      </c>
      <c r="L24" s="6" t="inlineStr">
        <is>
          <t>Blocked</t>
        </is>
      </c>
      <c r="M24" s="5" t="inlineStr">
        <is>
          <t>Activation flow not implemented (A13).</t>
        </is>
      </c>
    </row>
    <row r="25" ht="79.2" customHeight="1">
      <c r="A25" s="2" t="inlineStr">
        <is>
          <t>TC-RID-024</t>
        </is>
      </c>
      <c r="B25" s="23" t="inlineStr">
        <is>
          <t>Account Activation</t>
        </is>
      </c>
      <c r="C25" s="23" t="inlineStr">
        <is>
          <t>Logistics resends the activation email</t>
        </is>
      </c>
      <c r="D25" s="23" t="inlineStr">
        <is>
          <t>State Transition</t>
        </is>
      </c>
      <c r="E25" s="4" t="inlineStr">
        <is>
          <t>Medium</t>
        </is>
      </c>
      <c r="F25" s="23" t="inlineStr">
        <is>
          <t>The rider pedrojose.garcia@example.com has status Pending Activation. The logistics account operations@bilishatid.example.com is logged in.</t>
        </is>
      </c>
      <c r="G25" s="23" t="inlineStr">
        <is>
          <t>1. Open the rider list.
2. Click Resend Activation for Pedro Jose Garcia.
3. Open the first link.
4. Open the second link.</t>
        </is>
      </c>
      <c r="H25" s="23" t="inlineStr">
        <is>
          <t>First activation link, then the link from the second email</t>
        </is>
      </c>
      <c r="I25" s="23" t="inlineStr">
        <is>
          <t>A new activation email is sent. The first link no longer works. The second link opens the set-password page.</t>
        </is>
      </c>
      <c r="J25" s="4" t="inlineStr">
        <is>
          <t>A13</t>
        </is>
      </c>
      <c r="K25" s="5" t="inlineStr">
        <is>
          <t>Could not run: there is no activation email to resend.</t>
        </is>
      </c>
      <c r="L25" s="6" t="inlineStr">
        <is>
          <t>Blocked</t>
        </is>
      </c>
      <c r="M25" s="5" t="inlineStr">
        <is>
          <t>Activation flow not implemented (A13).</t>
        </is>
      </c>
    </row>
    <row r="26" ht="39.6" customHeight="1">
      <c r="A26" s="2" t="inlineStr">
        <is>
          <t>TC-RID-025</t>
        </is>
      </c>
      <c r="B26" s="23" t="inlineStr">
        <is>
          <t>Account Activation</t>
        </is>
      </c>
      <c r="C26" s="23" t="inlineStr">
        <is>
          <t>Reuse the activation link after activating</t>
        </is>
      </c>
      <c r="D26" s="23" t="inlineStr">
        <is>
          <t>State Transition</t>
        </is>
      </c>
      <c r="E26" s="4" t="inlineStr">
        <is>
          <t>Medium</t>
        </is>
      </c>
      <c r="F26" s="23" t="inlineStr">
        <is>
          <t>The rider pedrojose.garcia@example.com is already Active.</t>
        </is>
      </c>
      <c r="G26" s="23" t="inlineStr">
        <is>
          <t>1. Open the activation link that was already used.</t>
        </is>
      </c>
      <c r="H26" s="23" t="inlineStr">
        <is>
          <t>Activation link from the email that was used to activate</t>
        </is>
      </c>
      <c r="I26" s="23" t="inlineStr">
        <is>
          <t>A message says the link is invalid or already used. The password cannot be changed through this link.</t>
        </is>
      </c>
      <c r="J26" s="4" t="inlineStr">
        <is>
          <t>A13</t>
        </is>
      </c>
      <c r="K26" s="5" t="inlineStr">
        <is>
          <t>Could not run: there is no activation link.</t>
        </is>
      </c>
      <c r="L26" s="6" t="inlineStr">
        <is>
          <t>Blocked</t>
        </is>
      </c>
      <c r="M26" s="5" t="inlineStr">
        <is>
          <t>Activation flow not implemented (A13).</t>
        </is>
      </c>
    </row>
    <row r="27" ht="39.6" customHeight="1">
      <c r="A27" s="2" t="inlineStr">
        <is>
          <t>TC-RID-026</t>
        </is>
      </c>
      <c r="B27" s="23" t="inlineStr">
        <is>
          <t>Account Activation</t>
        </is>
      </c>
      <c r="C27" s="23" t="inlineStr">
        <is>
          <t>Rider logs in before activating</t>
        </is>
      </c>
      <c r="D27" s="23" t="inlineStr">
        <is>
          <t>State Transition</t>
        </is>
      </c>
      <c r="E27" s="4" t="inlineStr">
        <is>
          <t>High</t>
        </is>
      </c>
      <c r="F27" s="23" t="inlineStr">
        <is>
          <t>The rider pedrojose.garcia@example.com has status Pending Activation.</t>
        </is>
      </c>
      <c r="G27" s="23" t="inlineStr">
        <is>
          <t>1. Open the login page.
2. Enter the email and password.
3. Click Log In.</t>
        </is>
      </c>
      <c r="H27" s="23" t="inlineStr">
        <is>
          <t>Email: pedrojose.garcia@example.com
Password: Rider@2026</t>
        </is>
      </c>
      <c r="I27" s="23" t="inlineStr">
        <is>
          <t>Login is denied. The rider is not given access to any page.</t>
        </is>
      </c>
      <c r="J27" s="4" t="inlineStr">
        <is>
          <t>A13</t>
        </is>
      </c>
      <c r="K27" s="5" t="inlineStr">
        <is>
          <t>Before the logistics partner approved the rider, login was refused with "This account is pending approval or has been suspended." The rider pages redirect to the login page.</t>
        </is>
      </c>
      <c r="L27" s="6" t="inlineStr">
        <is>
          <t>Pass</t>
        </is>
      </c>
      <c r="M27" s="5" t="inlineStr">
        <is>
          <t>The rider waits for logistics approval rather than activation.</t>
        </is>
      </c>
    </row>
    <row r="28" ht="39.6" customHeight="1">
      <c r="A28" s="2" t="inlineStr">
        <is>
          <t>TC-RID-027</t>
        </is>
      </c>
      <c r="B28" s="23" t="inlineStr">
        <is>
          <t>Access Control</t>
        </is>
      </c>
      <c r="C28" s="23" t="inlineStr">
        <is>
          <t>Rider logs in after activating</t>
        </is>
      </c>
      <c r="D28" s="23" t="inlineStr">
        <is>
          <t>Use Case Testing</t>
        </is>
      </c>
      <c r="E28" s="4" t="inlineStr">
        <is>
          <t>High</t>
        </is>
      </c>
      <c r="F28" s="23" t="inlineStr">
        <is>
          <t>The rider pedrojose.garcia@example.com is Active.</t>
        </is>
      </c>
      <c r="G28" s="23" t="inlineStr">
        <is>
          <t>1. Open the login page.
2. Enter the email and password.
3. Click Log In.</t>
        </is>
      </c>
      <c r="H28" s="23" t="inlineStr">
        <is>
          <t>Email: pedrojose.garcia@example.com
Password: Rider@2026</t>
        </is>
      </c>
      <c r="I28" s="23" t="inlineStr">
        <is>
          <t>Login succeeds. The rider dashboard opens and shows Pedro Jose Garcia and Bilis Hatid Express Inc.</t>
        </is>
      </c>
      <c r="J28" s="4" t="inlineStr">
        <is>
          <t>A13</t>
        </is>
      </c>
      <c r="K28" s="5" t="inlineStr">
        <is>
          <t>After Bilis Hatid approved the rider, login succeeded and the rider dashboard opened showing Pedro Jose Garcia. The company name is not shown on the dashboard.</t>
        </is>
      </c>
      <c r="L28" s="6" t="inlineStr">
        <is>
          <t>Fail</t>
        </is>
      </c>
      <c r="M28" s="5" t="inlineStr">
        <is>
          <t>Rider dashboard does not show the logistics company.</t>
        </is>
      </c>
    </row>
    <row r="29" ht="79.2" customHeight="1">
      <c r="A29" s="2" t="inlineStr">
        <is>
          <t>TC-RID-028</t>
        </is>
      </c>
      <c r="B29" s="23" t="inlineStr">
        <is>
          <t>Access Control</t>
        </is>
      </c>
      <c r="C29" s="23" t="inlineStr">
        <is>
          <t>Rider is visible only to the company that created it</t>
        </is>
      </c>
      <c r="D29" s="23" t="inlineStr">
        <is>
          <t>Error Guessing</t>
        </is>
      </c>
      <c r="E29" s="4" t="inlineStr">
        <is>
          <t>High</t>
        </is>
      </c>
      <c r="F29" s="23" t="inlineStr">
        <is>
          <t>Bilis Hatid Express Inc. created the rider Pedro Jose Garcia. Agila Cargo Movers Corp. is also an Approved logistics account.</t>
        </is>
      </c>
      <c r="G29" s="23" t="inlineStr">
        <is>
          <t>1. Log in as the first company and open the rider list.
2. Log out.
3. Log in as the second company and open the rider list.</t>
        </is>
      </c>
      <c r="H29" s="23" t="inlineStr">
        <is>
          <t>First: operations@bilishatid.example.com / Hatid@2026
Second: admin@agilacargo.example.com / Agila#Cargo26</t>
        </is>
      </c>
      <c r="I29" s="23" t="inlineStr">
        <is>
          <t>Pedro Jose Garcia appears in the rider list of Bilis Hatid Express Inc. and does not appear in the rider list of Agila Cargo Movers Corp.</t>
        </is>
      </c>
      <c r="J29" s="4" t="inlineStr">
        <is>
          <t>A13</t>
        </is>
      </c>
      <c r="K29" s="5" t="inlineStr">
        <is>
          <t>Pedro Jose Garcia appears in the rider list of Bilis Hatid Express Inc. and not in the rider list of Agila Cargo Movers Corp.</t>
        </is>
      </c>
      <c r="L29" s="6" t="inlineStr">
        <is>
          <t>Pass</t>
        </is>
      </c>
      <c r="M29" s="5" t="inlineStr">
        <is>
          <t>Agila was approved in the test copy for this check.</t>
        </is>
      </c>
    </row>
    <row r="30" ht="52.8" customHeight="1">
      <c r="A30" s="2" t="inlineStr">
        <is>
          <t>TC-RID-029</t>
        </is>
      </c>
      <c r="B30" s="23" t="inlineStr">
        <is>
          <t>Access Control</t>
        </is>
      </c>
      <c r="C30" s="23" t="inlineStr">
        <is>
          <t>No public rider registration</t>
        </is>
      </c>
      <c r="D30" s="23" t="inlineStr">
        <is>
          <t>Error Guessing</t>
        </is>
      </c>
      <c r="E30" s="4" t="inlineStr">
        <is>
          <t>High</t>
        </is>
      </c>
      <c r="F30" s="23" t="inlineStr">
        <is>
          <t>No user is logged in.</t>
        </is>
      </c>
      <c r="G30" s="23" t="inlineStr">
        <is>
          <t>1. Open the public registration page and check the role choices.
2. Paste the address of the Add Rider form into the browser.</t>
        </is>
      </c>
      <c r="H30" s="23" t="inlineStr">
        <is>
          <t>Add Rider form address (copy it while logged in as logistics)</t>
        </is>
      </c>
      <c r="I30" s="23" t="inlineStr">
        <is>
          <t>Rider is not offered as a self-registration role. The Add Rider address redirects to the login page.</t>
        </is>
      </c>
      <c r="J30" s="4" t="inlineStr">
        <is>
          <t>A13</t>
        </is>
      </c>
      <c r="K30" s="5" t="inlineStr">
        <is>
          <t>Riders can register themselves: the register page offers "Become a rider". There is no Add Rider page; the logistics rider list redirects signed-out visitors to the login page.</t>
        </is>
      </c>
      <c r="L30" s="6" t="inlineStr">
        <is>
          <t>Fail</t>
        </is>
      </c>
      <c r="M30" s="5" t="inlineStr">
        <is>
          <t>Public rider registration exists by design (A13).</t>
        </is>
      </c>
    </row>
    <row r="31" ht="52.8" customHeight="1">
      <c r="A31" s="2" t="inlineStr">
        <is>
          <t>TC-RID-030</t>
        </is>
      </c>
      <c r="B31" s="23" t="inlineStr">
        <is>
          <t>Access Control</t>
        </is>
      </c>
      <c r="C31" s="23" t="inlineStr">
        <is>
          <t>Buyer or seller opens the Add Rider form</t>
        </is>
      </c>
      <c r="D31" s="23" t="inlineStr">
        <is>
          <t>Error Guessing</t>
        </is>
      </c>
      <c r="E31" s="4" t="inlineStr">
        <is>
          <t>High</t>
        </is>
      </c>
      <c r="F31" s="23" t="inlineStr">
        <is>
          <t>The buyer account juanmiguel.delacruz@example.com is logged in.</t>
        </is>
      </c>
      <c r="G31" s="23" t="inlineStr">
        <is>
          <t>1. Paste the address of the Add Rider form into the browser.
2. Repeat while logged in as the seller mariaclara.santos@example.com.</t>
        </is>
      </c>
      <c r="H31" s="23" t="inlineStr">
        <is>
          <t>Add Rider form address</t>
        </is>
      </c>
      <c r="I31" s="23" t="inlineStr">
        <is>
          <t>Access is denied each time (error 403 or redirect). No rider can be created.</t>
        </is>
      </c>
      <c r="J31" s="4" t="inlineStr">
        <is>
          <t>A16</t>
        </is>
      </c>
      <c r="K31" s="5" t="inlineStr">
        <is>
          <t>Error 403 for both the buyer and the seller on the logistics rider page. No Add Rider form exists.</t>
        </is>
      </c>
      <c r="L31" s="6" t="inlineStr">
        <is>
          <t>Pass</t>
        </is>
      </c>
      <c r="M31" s="5" t="n"/>
    </row>
    <row r="32" ht="79.2" customHeight="1">
      <c r="A32" s="2" t="inlineStr">
        <is>
          <t>TC-RID-031</t>
        </is>
      </c>
      <c r="B32" s="23" t="inlineStr">
        <is>
          <t>Access Control</t>
        </is>
      </c>
      <c r="C32" s="23" t="inlineStr">
        <is>
          <t>Pending logistics account tries to add a rider</t>
        </is>
      </c>
      <c r="D32" s="23" t="inlineStr">
        <is>
          <t>State Transition</t>
        </is>
      </c>
      <c r="E32" s="4" t="inlineStr">
        <is>
          <t>High</t>
        </is>
      </c>
      <c r="F32" s="23" t="inlineStr">
        <is>
          <t>A logistics account with status Pending Approval is logged in (register admin@agilacargo.example.com and verify it, but do not approve it yet).</t>
        </is>
      </c>
      <c r="G32" s="23" t="inlineStr">
        <is>
          <t>1. Look for the Add Rider option.
2. Paste the address of the Add Rider form into the browser.</t>
        </is>
      </c>
      <c r="H32" s="23" t="inlineStr">
        <is>
          <t>Add Rider form address</t>
        </is>
      </c>
      <c r="I32" s="23" t="inlineStr">
        <is>
          <t>The Add Rider option is not available. The address is denied or shows the under-review notice. No rider can be created.</t>
        </is>
      </c>
      <c r="J32" s="4" t="inlineStr">
        <is>
          <t>A12, A13</t>
        </is>
      </c>
      <c r="K32" s="5" t="inlineStr">
        <is>
          <t>A pending logistics account cannot log in ("This logistics account is pending approval or has been suspended."), and the rider page redirects to the logistics login.</t>
        </is>
      </c>
      <c r="L32" s="6" t="inlineStr">
        <is>
          <t>Pass</t>
        </is>
      </c>
      <c r="M32" s="5" t="inlineStr">
        <is>
          <t>There is no Add Rider form; this checks the rider management page.</t>
        </is>
      </c>
    </row>
    <row r="33" ht="39.6" customHeight="1">
      <c r="A33" s="2" t="inlineStr">
        <is>
          <t>TC-RID-032</t>
        </is>
      </c>
      <c r="B33" s="23" t="inlineStr">
        <is>
          <t>Access Control</t>
        </is>
      </c>
      <c r="C33" s="23" t="inlineStr">
        <is>
          <t>Open another role's pages</t>
        </is>
      </c>
      <c r="D33" s="23" t="inlineStr">
        <is>
          <t>Error Guessing</t>
        </is>
      </c>
      <c r="E33" s="4" t="inlineStr">
        <is>
          <t>Medium</t>
        </is>
      </c>
      <c r="F33" s="23" t="inlineStr">
        <is>
          <t>The Active rider account pedrojose.garcia@example.com is logged in.</t>
        </is>
      </c>
      <c r="G33" s="23" t="inlineStr">
        <is>
          <t>1. Paste the address of each dashboard in the test data into the browser, one at a time.</t>
        </is>
      </c>
      <c r="H33" s="23" t="inlineStr">
        <is>
          <t>Logistics dashboard
Seller dashboard
Admin dashboard</t>
        </is>
      </c>
      <c r="I33" s="23" t="inlineStr">
        <is>
          <t>Access is denied each time (error 403 or redirect). No data from the other role is shown.</t>
        </is>
      </c>
      <c r="J33" s="4" t="inlineStr">
        <is>
          <t>A16</t>
        </is>
      </c>
      <c r="K33" s="5" t="inlineStr">
        <is>
          <t>Error 403 for the logistics, seller and admin dashboards.</t>
        </is>
      </c>
      <c r="L33" s="6" t="inlineStr">
        <is>
          <t>Pass</t>
        </is>
      </c>
      <c r="M33" s="5" t="n"/>
    </row>
  </sheetData>
  <autoFilter ref="A1:M33"/>
  <conditionalFormatting sqref="L2:L33">
    <cfRule type="cellIs" priority="2" operator="equal" dxfId="2">
      <formula>"Pass"</formula>
    </cfRule>
    <cfRule type="cellIs" priority="3" operator="equal" dxfId="1">
      <formula>"Fail"</formula>
    </cfRule>
    <cfRule type="cellIs" priority="4" operator="equal" dxfId="0">
      <formula>"Blocked"</formula>
    </cfRule>
  </conditionalFormatting>
  <dataValidations count="1">
    <dataValidation sqref="L2:L33" showDropDown="0" showInputMessage="0" showErrorMessage="0" allowBlank="0" errorTitle="Invalid status" error="Choose Pass, Fail, Blocked or Not Run." type="list">
      <formula1>"Pass,Fail,Blocked,Not Run"</formula1>
    </dataValidation>
  </dataValidation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2026-10-07T02:30:00Z</dcterms:created>
  <dcterms:modified xsi:type="dcterms:W3CDTF">2026-10-12T14:15:26Z</dcterms:modified>
  <cp:lastModifiedBy>Jan Reyben Del Mundo</cp:lastModifiedBy>
  <cp:revision>0</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8D65DBEFD2E94029903C821E105ED49D_12</vt:lpwstr>
  </property>
  <property name="KSOProductBuildVer" fmtid="{D5CDD505-2E9C-101B-9397-08002B2CF9AE}" pid="3">
    <vt:lpwstr>1033-12.1.0.28485</vt:lpwstr>
  </property>
  <property name="CalculationRule" fmtid="{D5CDD505-2E9C-101B-9397-08002B2CF9AE}" pid="4">
    <vt:i4>0</vt:i4>
  </property>
</Properties>
</file>