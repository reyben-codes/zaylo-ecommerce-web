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yben\Documents\zaylo-ecommerce-web\"/>
    </mc:Choice>
  </mc:AlternateContent>
  <xr:revisionPtr revIDLastSave="0" documentId="13_ncr:1_{119631AF-C4B6-40DF-8C83-FCC7C63C9D83}" xr6:coauthVersionLast="47" xr6:coauthVersionMax="47" xr10:uidLastSave="{00000000-0000-0000-0000-000000000000}"/>
  <bookViews>
    <workbookView xWindow="-108" yWindow="-108" windowWidth="23256" windowHeight="13176" tabRatio="500" firstSheet="1" activeTab="5" xr2:uid="{00000000-000D-0000-FFFF-FFFF00000000}"/>
  </bookViews>
  <sheets>
    <sheet name="Summary" sheetId="1" r:id="rId1"/>
    <sheet name="Test Data" sheetId="2" r:id="rId2"/>
    <sheet name="Test Files" sheetId="3" r:id="rId3"/>
    <sheet name="Assumptions" sheetId="4" r:id="rId4"/>
    <sheet name="Buyer" sheetId="5" r:id="rId5"/>
    <sheet name="Seller" sheetId="6" r:id="rId6"/>
    <sheet name="Logistics" sheetId="7" r:id="rId7"/>
    <sheet name="Rider" sheetId="8" r:id="rId8"/>
  </sheets>
  <definedNames>
    <definedName name="_xlnm._FilterDatabase" localSheetId="4" hidden="1">Buyer!$A$1:$M$31</definedName>
    <definedName name="_xlnm._FilterDatabase" localSheetId="6" hidden="1">Logistics!$A$1:$M$45</definedName>
    <definedName name="_xlnm._FilterDatabase" localSheetId="7" hidden="1">Rider!$A$1:$M$33</definedName>
    <definedName name="_xlnm._FilterDatabase" localSheetId="5" hidden="1">Seller!$A$1:$M$45</definedName>
    <definedName name="_xlnm.Print_Titles" localSheetId="4">Buyer!$1:$1</definedName>
    <definedName name="_xlnm.Print_Titles" localSheetId="6">Logistics!$1:$1</definedName>
    <definedName name="_xlnm.Print_Titles" localSheetId="7">Rider!$1:$1</definedName>
    <definedName name="_xlnm.Print_Titles" localSheetId="5">Seller!$1:$1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8" l="1"/>
  <c r="H7" i="8"/>
  <c r="H9" i="5"/>
  <c r="H8" i="5"/>
  <c r="F16" i="1"/>
  <c r="E16" i="1"/>
  <c r="D16" i="1"/>
  <c r="C16" i="1"/>
  <c r="B16" i="1"/>
  <c r="G16" i="1" s="1"/>
  <c r="F15" i="1"/>
  <c r="E15" i="1"/>
  <c r="D15" i="1"/>
  <c r="C15" i="1"/>
  <c r="G15" i="1" s="1"/>
  <c r="B15" i="1"/>
  <c r="F14" i="1"/>
  <c r="E14" i="1"/>
  <c r="D14" i="1"/>
  <c r="C14" i="1"/>
  <c r="B14" i="1"/>
  <c r="G14" i="1" s="1"/>
  <c r="F13" i="1"/>
  <c r="F17" i="1" s="1"/>
  <c r="E13" i="1"/>
  <c r="E17" i="1" s="1"/>
  <c r="D13" i="1"/>
  <c r="D17" i="1" s="1"/>
  <c r="C13" i="1"/>
  <c r="C17" i="1" s="1"/>
  <c r="B13" i="1"/>
  <c r="B17" i="1" s="1"/>
  <c r="G17" i="1" s="1"/>
  <c r="G13" i="1" l="1"/>
</calcChain>
</file>

<file path=xl/sharedStrings.xml><?xml version="1.0" encoding="utf-8"?>
<sst xmlns="http://schemas.openxmlformats.org/spreadsheetml/2006/main" count="2622" uniqueCount="1032">
  <si>
    <t>Test Case ID</t>
  </si>
  <si>
    <t>Module</t>
  </si>
  <si>
    <t>Test Scenario</t>
  </si>
  <si>
    <t>Technique</t>
  </si>
  <si>
    <t>Priority</t>
  </si>
  <si>
    <t>Preconditions</t>
  </si>
  <si>
    <t>Test Steps</t>
  </si>
  <si>
    <t>Test Data</t>
  </si>
  <si>
    <t>Expected Result</t>
  </si>
  <si>
    <t>Assumption Ref</t>
  </si>
  <si>
    <t>Actual Result</t>
  </si>
  <si>
    <t>Status</t>
  </si>
  <si>
    <t>Remarks</t>
  </si>
  <si>
    <t>TC-SEL-001</t>
  </si>
  <si>
    <t>Registration Form</t>
  </si>
  <si>
    <t>Register with all valid data</t>
  </si>
  <si>
    <t>Use Case Testing</t>
  </si>
  <si>
    <t>High</t>
  </si>
  <si>
    <t>The seller registration page is open. The email, mobile number and other unique values in the test data are not yet registered.</t>
  </si>
  <si>
    <t>1. Fill in every field with the test data.
2. Click Register.</t>
  </si>
  <si>
    <t>First Name: Maria Clara
Last Name: Santos
Email: mariaclara.santos@example.com
Mobile Number: 09189876543
Shop Name: Maria Clara Handicrafts
Shop Category: Home &amp; Living
Seller Type: Sole Proprietorship
TIN: 123-456-789-000
Region: National Capital Region (NCR)
Province: Metro Manila
City / Municipality: Quezon City
Barangay: Commonwealth
Street Address: Blk 12 Lot 8, Sampaguita St.
Postal Code: 1121
Government-issued ID (upload): govt_id_front.jpg (1.2 MB)
DTI Certificate (upload): dti_certificate.pdf (850 KB)
BIR Form 2303 (upload): bir_2303.pdf (1.1 MB)
Password: Tindahan@2026
Confirm Password: Tindahan@2026
Terms and Privacy Policy: Ticked</t>
  </si>
  <si>
    <t>The form is accepted with no validation errors. A success message is shown, a 6-digit OTP is sent to the email, and the email verification page opens. The account is saved with status Unverified.</t>
  </si>
  <si>
    <t>A1, A9, A12</t>
  </si>
  <si>
    <t>I got through the first step and verified the email with the code, but I couldn't finish the seller profile. Metro Manila isn't in the province list, so I couldn't pick Quezon City. Home &amp; Living isn't a category either, and most categories get rejected when you submit. I tried again with a Cebu address and Pet Supplies, but the page just showed a system error and nothing was saved.</t>
  </si>
  <si>
    <t>Run</t>
  </si>
  <si>
    <t>FAILED</t>
  </si>
  <si>
    <t>TC-SEL-002</t>
  </si>
  <si>
    <t>Required Fields</t>
  </si>
  <si>
    <t>Submit a completely empty form</t>
  </si>
  <si>
    <t>Equivalence Partitioning</t>
  </si>
  <si>
    <t>The seller registration page is open.</t>
  </si>
  <si>
    <t>1. Leave every field blank and every dropdown on its default option.
2. Click Register.</t>
  </si>
  <si>
    <t>All fields blank</t>
  </si>
  <si>
    <t>Registration is blocked. A required-field message is shown for every mandatory field. No account is created and no OTP is sent.</t>
  </si>
  <si>
    <t>A1</t>
  </si>
  <si>
    <t>The form wouldn't submit. Every required field was highlighted and asked to be filled in, on both the first step and the profile page. No account was created.</t>
  </si>
  <si>
    <t>PASSED</t>
  </si>
  <si>
    <t>TC-SEL-003</t>
  </si>
  <si>
    <t>Leave one required field blank at a time</t>
  </si>
  <si>
    <t>1. Fill in all fields with valid data.
2. Clear one required field.
3. Click Register.
4. Repeat for each field in the test data.</t>
  </si>
  <si>
    <t>Clear in turn:
First Name
Last Name
Email
Mobile Number
Shop Name
Shop Category
Seller Type
TIN
Region
Province
City / Municipality
Barangay
Street Address
Postal Code
Government-issued ID (upload)
DTI Certificate (upload)
BIR Form 2303 (upload)
Password
Confirm Password</t>
  </si>
  <si>
    <t>Each time, registration is blocked and a required-field message is shown on the blank field only. Other entered values (except passwords and uploads) are kept. No account is created.</t>
  </si>
  <si>
    <t>Most fields showed a required message when I left them blank, and the rest of what I typed stayed in the form. But when Business Name or Business Permit was empty, I got a system error instead of a proper message. Also, every time the form came back with an error, I had to pick the province, city and barangay again.</t>
  </si>
  <si>
    <t>TC-SEL-004</t>
  </si>
  <si>
    <t>Name</t>
  </si>
  <si>
    <t>Name with numbers or symbols</t>
  </si>
  <si>
    <t>Medium</t>
  </si>
  <si>
    <t>1. Fill in all other fields with valid data.
2. Enter the test data in the name fields.
3. Click Register.</t>
  </si>
  <si>
    <t>First Name: Maria Clara99
Last Name: Dela Cruz@#</t>
  </si>
  <si>
    <t>Registration is blocked. A message on each name field says only letters are allowed.</t>
  </si>
  <si>
    <t>A2</t>
  </si>
  <si>
    <t>The page wouldn't let me type numbers or symbols in the name fields; they were removed as I typed. When I forced them through, the site rejected both names as an invalid format.</t>
  </si>
  <si>
    <t>TC-SEL-005</t>
  </si>
  <si>
    <t>Name with ñ and allowed punctuation</t>
  </si>
  <si>
    <t>Low</t>
  </si>
  <si>
    <t>First Name: Niña Corazon
Last Name: Peñaranda-D'Souza</t>
  </si>
  <si>
    <t>The names are accepted and saved exactly as typed, including ñ.</t>
  </si>
  <si>
    <t>The ñ disappears as soon as you type it, so Niña turned into Nia. Even when I got the ñ through, the site said the names were in an invalid format.</t>
  </si>
  <si>
    <t>TC-SEL-006</t>
  </si>
  <si>
    <t>Name length at the limits</t>
  </si>
  <si>
    <t>Boundary Value Analysis</t>
  </si>
  <si>
    <t>1. Fill in all other fields with valid data.
2. Enter each first name in the test data, one per attempt.
3. Click Register.</t>
  </si>
  <si>
    <t>1 character: M (reject)
2 characters: Mo (accept)
50 characters: Maria Cristina Angelica Bernadette Josefina Leonor (accept)
51 characters: Maria Cristina Angelica Bernadette Josefina Leonora (reject)</t>
  </si>
  <si>
    <t>1 and 51 characters are rejected with a length message. 2 and 50 characters are accepted.</t>
  </si>
  <si>
    <t>A 1-letter name was rejected as too short. 2 letters and 50 characters were both fine. The field doesn't let you type past 50 characters, and when I forced 51 through it was rejected as too long.</t>
  </si>
  <si>
    <t>TC-SEL-007</t>
  </si>
  <si>
    <t>Email</t>
  </si>
  <si>
    <t>Email in an invalid format</t>
  </si>
  <si>
    <t>1. Fill in all other fields with valid data.
2. Enter each email in the test data, one per attempt.
3. Click Register.</t>
  </si>
  <si>
    <t>mariaclara.santosexample.com (no @)
mariaclara.santos@ (no domain)
@example.com (no name)
mariaclara.santos@example (no .com)
mariaclara santos@example.com (space)</t>
  </si>
  <si>
    <t>Each value is rejected with a message asking for a valid email address. No account is created.</t>
  </si>
  <si>
    <t>A3</t>
  </si>
  <si>
    <t>Most of the bad emails were stopped right away with a message to enter a valid email. But mariaclara.santos@example (no .com) went through. It created the account and sent me to the email verification page.</t>
  </si>
  <si>
    <t>TC-SEL-008</t>
  </si>
  <si>
    <t>Email that is already registered</t>
  </si>
  <si>
    <t>The seller registration page is open. The seller account mariaclara.santos@example.com already exists.</t>
  </si>
  <si>
    <t>1. Fill in all other fields with valid data.
2. Enter the existing email.
3. Click Register.</t>
  </si>
  <si>
    <t>Email: mariaclara.santos@example.com</t>
  </si>
  <si>
    <t>Registration is blocked. A message says the email is already in use. No account is created.</t>
  </si>
  <si>
    <t>It stopped me and said the email address is already registered. No second account was made.</t>
  </si>
  <si>
    <t>TC-SEL-009</t>
  </si>
  <si>
    <t>Registered email typed in capital letters</t>
  </si>
  <si>
    <t>Error Guessing</t>
  </si>
  <si>
    <t>1. Fill in all other fields with valid data.
2. Enter the same email in capital letters.
3. Click Register.</t>
  </si>
  <si>
    <t>Email: MARIACLARA.SANTOS@EXAMPLE.COM</t>
  </si>
  <si>
    <t>The email is treated as a duplicate. Registration is blocked.</t>
  </si>
  <si>
    <t>Same email in all capitals was still caught as already registered.</t>
  </si>
  <si>
    <t>TC-SEL-010</t>
  </si>
  <si>
    <t>Email with spaces before and after</t>
  </si>
  <si>
    <t>1. Fill in all other fields with valid data.
2. Type two spaces before and after the email.
3. Click Register.</t>
  </si>
  <si>
    <t>Email: "  seller.test01@example.com  "</t>
  </si>
  <si>
    <t>The spaces are removed and the email is saved as seller.test01@example.com.</t>
  </si>
  <si>
    <t>The extra spaces were removed. The verification page showed the email without them.</t>
  </si>
  <si>
    <t>TC-SEL-011</t>
  </si>
  <si>
    <t>Mobile Number</t>
  </si>
  <si>
    <t>Mobile number in an invalid format</t>
  </si>
  <si>
    <t>1. Fill in all other fields with valid data.
2. Enter each mobile number in the test data, one per attempt.
3. Click Register.</t>
  </si>
  <si>
    <t>0917ABC4567 (letters)
0917-123-456 (symbols, too short)
12345678901 (does not start with 09)
02-8123-4567 (landline)</t>
  </si>
  <si>
    <t>Each value is rejected with a message asking for a valid mobile number.</t>
  </si>
  <si>
    <t>A4</t>
  </si>
  <si>
    <t>Letters, dashes and the landline number were all rejected with an invalid format message. But when I typed 12345678901, the page quietly changed it to 09345678901 and accepted it without any warning.</t>
  </si>
  <si>
    <t>TC-SEL-012</t>
  </si>
  <si>
    <t>Mobile number length at the limits</t>
  </si>
  <si>
    <t>10 digits: 0917123456 (reject)
11 digits: 09170000001 (accept)
12 digits: 091712345678 (reject)</t>
  </si>
  <si>
    <t>10 and 12 digits are rejected with a length message. 11 digits is accepted.</t>
  </si>
  <si>
    <t>10 digits was rejected and 11 digits was accepted. The field won't let you type a 12th digit, and forcing it through gave an invalid format error. The message talks about format, not length.</t>
  </si>
  <si>
    <t>TC-SEL-013</t>
  </si>
  <si>
    <t>Mobile number that is already registered</t>
  </si>
  <si>
    <t>The seller registration page is open. An account already exists with mobile number 09189876543.</t>
  </si>
  <si>
    <t>1. Fill in all other fields with valid data.
2. Enter the existing mobile number.
3. Click Register.</t>
  </si>
  <si>
    <t>Mobile: 09189876543</t>
  </si>
  <si>
    <t>Registration is blocked. A message says the mobile number is already in use.</t>
  </si>
  <si>
    <t>Couldn't run this. To test a duplicate number I first need a seller who already saved 09189876543, but the seller profile always fails with a system error, so that account can't be created.</t>
  </si>
  <si>
    <t>Not Run</t>
  </si>
  <si>
    <t>TC-SEL-014</t>
  </si>
  <si>
    <t>Registered number entered in +63 format</t>
  </si>
  <si>
    <t>1. Fill in all other fields with valid data.
2. Enter the same number in +63 format.
3. Click Register.</t>
  </si>
  <si>
    <t>Mobile: +639189876543</t>
  </si>
  <si>
    <t>The +63 format is recognised as the same number. Registration is blocked. A message says the mobile number is already in use.</t>
  </si>
  <si>
    <t>The +63 number wasn't treated as the same number. When I typed it, the page turned it into a different number (09918987654) and accepted it. There was no message saying the number was already in use.</t>
  </si>
  <si>
    <t>TC-SEL-015</t>
  </si>
  <si>
    <t>Password</t>
  </si>
  <si>
    <t>Password length at the limit</t>
  </si>
  <si>
    <t>1. Fill in all other fields with valid data.
2. Enter each password in both password fields, one per attempt.
3. Click Register.</t>
  </si>
  <si>
    <t>7 characters: Tind@26 (reject)
8 characters: Tinda@26 (accept)</t>
  </si>
  <si>
    <t>7 characters is rejected with a minimum-length message. 8 characters is accepted.</t>
  </si>
  <si>
    <t>A5</t>
  </si>
  <si>
    <t>The 7-character password was rejected as too short. The 8-character one was accepted and took me to the verification page.</t>
  </si>
  <si>
    <t>TC-SEL-016</t>
  </si>
  <si>
    <t>Password missing a required character type</t>
  </si>
  <si>
    <t>Decision Table</t>
  </si>
  <si>
    <t>No uppercase: tindahan@2026
No lowercase: TINDAHAN@2026
No number: Tindahan@abcd
No special character: Tindahan2026</t>
  </si>
  <si>
    <t>Each password is rejected with a message stating the password rule. No account is created.</t>
  </si>
  <si>
    <t>Each weak password was rejected, and the message told me what was missing (uppercase/lowercase, a number, or a symbol). No account was created.</t>
  </si>
  <si>
    <t>TC-SEL-017</t>
  </si>
  <si>
    <t>Confirm Password does not match</t>
  </si>
  <si>
    <t>1. Fill in all other fields with valid data.
2. Enter the test data in Password and Confirm Password.
3. Click Register.</t>
  </si>
  <si>
    <t>Password: Tindahan@2026
Confirm Password: Tindahan@2027</t>
  </si>
  <si>
    <t>Registration is blocked. A message says the passwords do not match.</t>
  </si>
  <si>
    <t>It stopped me and said the passwords do not match.</t>
  </si>
  <si>
    <t>TC-SEL-018</t>
  </si>
  <si>
    <t>Password is hidden while typing</t>
  </si>
  <si>
    <t>1. Type the password.
2. If a show/hide icon is provided, click it twice.</t>
  </si>
  <si>
    <t>Password: Tindahan@2026</t>
  </si>
  <si>
    <t>Characters are hidden as dots by default. The icon reveals the password, then hides it again.</t>
  </si>
  <si>
    <t>The password shows as dots. Clicking the eye icon shows it, and clicking again hides it.</t>
  </si>
  <si>
    <t>TC-SEL-019</t>
  </si>
  <si>
    <t>Terms and Privacy Policy</t>
  </si>
  <si>
    <t>Register without accepting the terms</t>
  </si>
  <si>
    <t>1. Fill in all fields with valid data.
2. Leave the Terms and Privacy Policy checkbox unticked.
3. Click Register.</t>
  </si>
  <si>
    <t>Terms and Privacy Policy: unticked</t>
  </si>
  <si>
    <t>Registration is blocked. A message says the Terms and Privacy Policy must be accepted.</t>
  </si>
  <si>
    <t>It wouldn't let me continue without ticking the box, and asked me to agree to the Terms of Service.</t>
  </si>
  <si>
    <t>TC-SEL-020</t>
  </si>
  <si>
    <t>Click Register several times quickly</t>
  </si>
  <si>
    <t>1. Fill in all fields with the Account 2 data from the Test Data sheet.
2. Click Register three times in quick succession.</t>
  </si>
  <si>
    <t>Account 2 data (Test Data sheet, column G)</t>
  </si>
  <si>
    <t>Only one account is created and only one OTP email is sent. No duplicate-email error page appears.</t>
  </si>
  <si>
    <t>The button stays clickable, so all three clicks were sent. The account was created on the first one, but I ended up back on the form with an "email already registered" error.</t>
  </si>
  <si>
    <t>TC-SEL-021</t>
  </si>
  <si>
    <t>Shop Details</t>
  </si>
  <si>
    <t>Shop name already used by another seller</t>
  </si>
  <si>
    <t>1. Fill in all other fields with valid data.
2. Enter the existing shop name.
3. Click Register.</t>
  </si>
  <si>
    <t>Shop Name: Maria Clara Handicrafts</t>
  </si>
  <si>
    <t>Registration is blocked. A message says the shop name is already taken.</t>
  </si>
  <si>
    <t>A14</t>
  </si>
  <si>
    <t>The site doesn't check for duplicate shop names. I used the names of shops already on the site and there was no "already taken" message; it only stopped because of the same system error on submit.</t>
  </si>
  <si>
    <t>TC-SEL-022</t>
  </si>
  <si>
    <t>Shop name length at the limits</t>
  </si>
  <si>
    <t>1. Fill in all other fields with valid data.
2. Enter each shop name in the test data, one per attempt.
3. Click Register.</t>
  </si>
  <si>
    <t>2 characters: MC (reject)
3 characters: MCH (accept)
30 characters: Maria Clara Handicrafts Manila (accept)
31 characters: Maria Clara Handicrafts, Manila (reject)</t>
  </si>
  <si>
    <t>2 and 31 characters are rejected with a length message. 3 and 30 characters are accepted.</t>
  </si>
  <si>
    <t>2 characters was rejected as too short. 3 and 30 characters were fine. The field stops at 30, and forcing 31 through was rejected as too long.</t>
  </si>
  <si>
    <t>TC-SEL-023</t>
  </si>
  <si>
    <t>Business Details</t>
  </si>
  <si>
    <t>Required documents change with the seller type</t>
  </si>
  <si>
    <t>1. Select each seller type in turn.
2. Check which upload fields are marked required.
3. Upload only the documents listed for that type and click Register.</t>
  </si>
  <si>
    <t>Individual: govt_id_front.jpg
Sole Proprietorship: govt_id_front.jpg + dti_certificate.pdf + bir_2303.pdf
Corporation: govt_id_front.jpg + sec_certificate.pdf + bir_2303.pdf</t>
  </si>
  <si>
    <t>For each seller type, only the listed documents are required and registration continues to email verification.</t>
  </si>
  <si>
    <t>A11</t>
  </si>
  <si>
    <t>The extra documents do change with the seller type (DTI for Sole Proprietorship, SEC for Corporation, BIR for both). But every type, even Individual, also has to upload the back of the ID and a Business Permit. With everything uploaded, all three types still hit the system error, so none of them went on to the next step.</t>
  </si>
  <si>
    <t>TC-SEL-024</t>
  </si>
  <si>
    <t>Corporation registers without the SEC certificate</t>
  </si>
  <si>
    <t>1. Fill in all other fields with valid data.
2. Select the seller type and upload only the files in the test data.
3. Click Register.</t>
  </si>
  <si>
    <t>Seller Type: Corporation
Government-issued ID: govt_id_front.jpg
BIR Form 2303: bir_2303.pdf
SEC Certificate: none</t>
  </si>
  <si>
    <t>Registration is blocked. A message says the SEC Certificate is required for corporations. No account is created.</t>
  </si>
  <si>
    <t>It stopped me and said the SEC Certificate is required for corporations. Nothing was saved.</t>
  </si>
  <si>
    <t>TC-SEL-025</t>
  </si>
  <si>
    <t>TIN in an invalid format or length</t>
  </si>
  <si>
    <t>1. Fill in all other fields with valid data.
2. Enter each TIN in the test data, one per attempt.
3. Click Register.</t>
  </si>
  <si>
    <t>11 digits: 123-456-789-00 (reject)
12 digits: 345-678-901-000 (accept)
13 digits: 123-456-789-0001 (reject)
Letters: 123-456-78A-000 (reject)</t>
  </si>
  <si>
    <t>Only the 12-digit TIN is accepted. The other values are rejected with a message showing the format 000-000-000-000.</t>
  </si>
  <si>
    <t>A8</t>
  </si>
  <si>
    <t>Only the 12-digit TIN was accepted. The others were rejected with a message showing the 000-000-000-000 format. The field adds the dashes for you and removes letters as you type.</t>
  </si>
  <si>
    <t>TC-SEL-026</t>
  </si>
  <si>
    <t>TIN that is already registered</t>
  </si>
  <si>
    <t>The seller registration page is open. Another account already uses TIN 123-456-789-000.</t>
  </si>
  <si>
    <t>1. Fill in all other fields with valid data.
2. Enter the existing TIN.
3. Click Register.</t>
  </si>
  <si>
    <t>TIN: 123-456-789-000</t>
  </si>
  <si>
    <t>Registration is blocked. A message says the TIN is already registered.</t>
  </si>
  <si>
    <t>Couldn't run this. No seller profile can be saved because of the system error on submit, so I couldn't register the first TIN to test the duplicate.</t>
  </si>
  <si>
    <t>TC-SEL-027</t>
  </si>
  <si>
    <t>Pickup Address</t>
  </si>
  <si>
    <t>Address dropdowns depend on each other</t>
  </si>
  <si>
    <t>1. Select the Region, Province, City and Barangay in the test data.
2. Change the Region to Region VII (Central Visayas).
3. Open the Province dropdown.</t>
  </si>
  <si>
    <t>Region: National Capital Region (NCR)
Province: Metro Manila
City / Municipality: Quezon City
Barangay: Commonwealth</t>
  </si>
  <si>
    <t>After the change, Province, City and Barangay are cleared. The Province list shows only Region VII provinces such as Cebu and Bohol. Quezon City and Commonwealth can no longer be selected.</t>
  </si>
  <si>
    <t>A7</t>
  </si>
  <si>
    <t>There's no Region dropdown, so I tested it by changing the province. When I switched from Cebu to Bohol, the city and barangay were cleared and only Bohol towns showed up. This part works, but Metro Manila can't be selected at all.</t>
  </si>
  <si>
    <t>TC-SEL-028</t>
  </si>
  <si>
    <t>Postal code length and format</t>
  </si>
  <si>
    <t>1. Fill in all other fields with valid data.
2. Enter each postal code in the test data, one per attempt.
3. Click Register.</t>
  </si>
  <si>
    <t>3 digits: 112 (reject)
4 digits: 1121 (accept)
5 digits: 11210 (reject)
Letters: 11A1 (reject)</t>
  </si>
  <si>
    <t>Only the 4-digit postal code is accepted. The other values are rejected with a message asking for a 4-digit postal code.</t>
  </si>
  <si>
    <t>Only the 4-digit postal code was accepted. 3 digits was rejected, the field won't take a 5th digit, and letters are removed as you type. Forcing bad values through gave a "must be exactly 4 digits" message.</t>
  </si>
  <si>
    <t>TC-SEL-029</t>
  </si>
  <si>
    <t>Document Upload</t>
  </si>
  <si>
    <t>Upload documents in each accepted file type</t>
  </si>
  <si>
    <t>1. Fill in all other fields with valid data.
2. Upload the files in the test data.
3. Click Register.</t>
  </si>
  <si>
    <t>Government-issued ID: govt_id_front.jpg (1.2 MB), then govt_id_front.png (2.4 MB)
DTI Certificate: dti_certificate.pdf (850 KB)
BIR Form 2303: bir_2303.pdf (1.1 MB)</t>
  </si>
  <si>
    <t>Each file is accepted and its name or preview is shown. Registration continues to email verification.</t>
  </si>
  <si>
    <t>A10</t>
  </si>
  <si>
    <t>The JPG, PNG and PDF files were all accepted with no errors. But when I submitted the whole form it showed a system error, so I never got past this step.</t>
  </si>
  <si>
    <t>TC-SEL-030</t>
  </si>
  <si>
    <t>Upload a file type that is not accepted</t>
  </si>
  <si>
    <t>1. Fill in all other fields with valid data.
2. Try to upload each file in the test data to Government-issued ID, one per attempt.
3. Click Register.</t>
  </si>
  <si>
    <t>price_list.docx (320 KB)
store_banner.gif (480 KB)
installer.exe (2.1 MB)</t>
  </si>
  <si>
    <t>Each file is rejected with a message listing the accepted types (JPG, PNG, PDF). No account is created.</t>
  </si>
  <si>
    <t>The Word file, GIF and EXE were all rejected. The message said only JPG, JPEG, PNG and PDF are allowed. Nothing was saved.</t>
  </si>
  <si>
    <t>TC-SEL-031</t>
  </si>
  <si>
    <t>File size at the limit</t>
  </si>
  <si>
    <t>1. Fill in all other fields with valid data.
2. Upload each file in the test data to Government-issued ID, one per attempt.
3. Click Register.</t>
  </si>
  <si>
    <t>size_4.9MB.jpg (accept)
size_5.0MB.jpg, exactly 5,120 KB (accept)
size_5.1MB.jpg (reject)</t>
  </si>
  <si>
    <t>The 4.9 MB and 5.0 MB files are accepted. The 5.1 MB file is rejected with a maximum-size message.</t>
  </si>
  <si>
    <t>The 4.9 MB and 5.0 MB files were accepted. The 5.1 MB file was rejected for being over the size limit.</t>
  </si>
  <si>
    <t>TC-SEL-032</t>
  </si>
  <si>
    <t>Email Verification (OTP)</t>
  </si>
  <si>
    <t>Verify with the correct OTP</t>
  </si>
  <si>
    <t>State Transition</t>
  </si>
  <si>
    <t>The seller account mariaclara.santos@example.com was just registered and is Unverified. The verification page is open and the OTP email has been read from the mail catcher.</t>
  </si>
  <si>
    <t>1. Enter the OTP from the email within 5 minutes.
2. Click Verify.</t>
  </si>
  <si>
    <t>OTP: the code in the email (for example 482913)</t>
  </si>
  <si>
    <t>Verification succeeds. The account status changes from Unverified to Pending Approval. A message says the application is waiting for admin approval.</t>
  </si>
  <si>
    <t>A9, A12</t>
  </si>
  <si>
    <t>The code worked and the email was verified. But instead of going to Pending Approval, the dashboard says "No Application" and asks me to complete my seller profile first, which I can't do because of the system error.</t>
  </si>
  <si>
    <t>TC-SEL-033</t>
  </si>
  <si>
    <t>Verify with an incorrect OTP</t>
  </si>
  <si>
    <t>1. Enter a code different from the one in the email.
2. Click Verify.</t>
  </si>
  <si>
    <t>OTP: 000000 (use 111111 if the real code is 000000)</t>
  </si>
  <si>
    <t>Verification fails with an invalid-code message. The account stays Unverified.</t>
  </si>
  <si>
    <t>A9</t>
  </si>
  <si>
    <t>The wrong code was rejected as invalid or expired. The account stayed unverified.</t>
  </si>
  <si>
    <t>TC-SEL-034</t>
  </si>
  <si>
    <t>OTP in the wrong format</t>
  </si>
  <si>
    <t>1. Enter each value in the test data, one per attempt.
2. Click Verify.</t>
  </si>
  <si>
    <t>5 digits: 48291
7 digits: 4829137
Letters: 48A91B
Blank</t>
  </si>
  <si>
    <t>Each value is rejected. The account stays Unverified.</t>
  </si>
  <si>
    <t>TC-SEL-035</t>
  </si>
  <si>
    <t>Verify with an expired OTP</t>
  </si>
  <si>
    <t>1. Wait until 5 minutes and 1 second have passed since the OTP was sent.
2. Enter the OTP from the email.
3. Click Verify.</t>
  </si>
  <si>
    <t>OTP: the correct code, entered at 5:01 or later</t>
  </si>
  <si>
    <t>Verification fails with a message that the code has expired, and a Resend option is offered. The account stays Unverified.</t>
  </si>
  <si>
    <t>TC-SEL-036</t>
  </si>
  <si>
    <t>Resend OTP</t>
  </si>
  <si>
    <t>1. Click Resend OTP.
2. Enter the first code and click Verify.
3. Enter the second code and click Verify.</t>
  </si>
  <si>
    <t>First code (for example 482913), then the second code (for example 907356)</t>
  </si>
  <si>
    <t>A new OTP email arrives. The first code is rejected. The second code is accepted and the account is verified.</t>
  </si>
  <si>
    <t>A new code arrived after clicking Resend. The old code no longer worked, and the new one verified the account.</t>
  </si>
  <si>
    <t>TC-SEL-037</t>
  </si>
  <si>
    <t>Log in before verifying the email</t>
  </si>
  <si>
    <t>The seller account mariaclara.santos@example.com exists with status Unverified.</t>
  </si>
  <si>
    <t>1. Open the login page.
2. Log in with the unverified account.</t>
  </si>
  <si>
    <t>Email: mariaclara.santos@example.com
Password: Tindahan@2026</t>
  </si>
  <si>
    <t>The user is not given access. The verification page or a message asking to verify the email is shown.</t>
  </si>
  <si>
    <t>TC-SEL-038</t>
  </si>
  <si>
    <t>Admin Approval</t>
  </si>
  <si>
    <t>Pending seller logs in</t>
  </si>
  <si>
    <t>The seller account mariaclara.santos@example.com is verified and has status Pending Approval.</t>
  </si>
  <si>
    <t>1. Log in with the pending seller account.
2. Try to open the seller dashboard.</t>
  </si>
  <si>
    <t>A notice says the application is under review. The seller cannot add products or receive orders.</t>
  </si>
  <si>
    <t>A12</t>
  </si>
  <si>
    <t>Couldn't run this. A seller can't reach Pending Approval because the seller profile fails with a system error on submit.</t>
  </si>
  <si>
    <t>TC-SEL-039</t>
  </si>
  <si>
    <t>New application appears in the admin's pending list</t>
  </si>
  <si>
    <t>The seller account mariaclara.santos@example.com has status Pending Approval. An admin account is logged in.</t>
  </si>
  <si>
    <t>1. Open the pending seller applications.
2. Open the application of Maria Clara Handicrafts.
3. Open each uploaded document.</t>
  </si>
  <si>
    <t>Applicant: Maria Clara Handicrafts
Email: mariaclara.santos@example.com</t>
  </si>
  <si>
    <t>The application is listed as Pending. All details match the Test Data sheet, and each uploaded document opens correctly.</t>
  </si>
  <si>
    <t>TC-SEL-040</t>
  </si>
  <si>
    <t>Admin approves the application</t>
  </si>
  <si>
    <t>The application of Maria Clara Handicrafts is Pending Approval. An admin account is logged in.</t>
  </si>
  <si>
    <t>1. Open the application.
2. Click Approve and confirm.
3. Log in with the seller account.</t>
  </si>
  <si>
    <t>Applicant: Maria Clara Handicrafts
Email: mariaclara.santos@example.com
Password: Tindahan@2026</t>
  </si>
  <si>
    <t>Status changes to Approved. An approval email is sent to mariaclara.santos@example.com. On login, the seller dashboard opens.</t>
  </si>
  <si>
    <t>TC-SEL-041</t>
  </si>
  <si>
    <t>Admin rejects the application with a reason</t>
  </si>
  <si>
    <t>A second seller application is Pending Approval (use the Account 2 data). An admin account is logged in.</t>
  </si>
  <si>
    <t>1. Open the application.
2. Click Reject, type the reason, and confirm.
3. Log in with the seller account.</t>
  </si>
  <si>
    <t>Reason: DTI certificate is blurred and the business name cannot be read.</t>
  </si>
  <si>
    <t>Status changes to Rejected. The seller receives an email containing the reason. On login, the reason is shown and the seller dashboard is not available.</t>
  </si>
  <si>
    <t>TC-SEL-042</t>
  </si>
  <si>
    <t>Rejected seller corrects and resubmits</t>
  </si>
  <si>
    <t>The seller application from the previous case has status Rejected.</t>
  </si>
  <si>
    <t>1. Log in with the rejected seller account.
2. Replace the DTI Certificate (or the rejected document).
3. Click Resubmit.</t>
  </si>
  <si>
    <t>DTI Certificate (or the rejected document): dti_certificate_clear.pdf (1.0 MB)</t>
  </si>
  <si>
    <t>Status returns to Pending Approval and the application appears again in the admin's pending list with the new document.</t>
  </si>
  <si>
    <t>TC-SEL-043</t>
  </si>
  <si>
    <t>Access Control</t>
  </si>
  <si>
    <t>Non-admin opens the approval page</t>
  </si>
  <si>
    <t>The buyer account juanmiguel.delacruz@example.com is logged in.</t>
  </si>
  <si>
    <t>1. Paste the address of the admin's seller applications page into the browser.
2. Press Enter.</t>
  </si>
  <si>
    <t>Admin page for seller applications (copy the address while logged in as admin)</t>
  </si>
  <si>
    <t>Access is denied (error 403 or redirect). No application data is shown and no Approve or Reject action is possible.</t>
  </si>
  <si>
    <t>A16</t>
  </si>
  <si>
    <t>Logged in as a buyer, the admin pages showed a 403 Unauthorized message. No applications or approve/reject buttons were shown.</t>
  </si>
  <si>
    <t>TC-SEL-044</t>
  </si>
  <si>
    <t>Open another role's pages</t>
  </si>
  <si>
    <t>The Approved seller account mariaclara.santos@example.com is logged in.</t>
  </si>
  <si>
    <t>1. Paste the address of each dashboard in the test data into the browser, one at a time.</t>
  </si>
  <si>
    <t>Admin dashboard
Logistics dashboard
Rider dashboard</t>
  </si>
  <si>
    <t>Access is denied each time (error 403 or redirect). No data from the other role is shown.</t>
  </si>
  <si>
    <t>Multi-role e-commerce system (Buyer, Seller, Logistics, Rider)</t>
  </si>
  <si>
    <t>Test run details</t>
  </si>
  <si>
    <t>System under test</t>
  </si>
  <si>
    <t>Version / build</t>
  </si>
  <si>
    <t>Test environment (browser, device)</t>
  </si>
  <si>
    <t>Tester</t>
  </si>
  <si>
    <t>Date tested</t>
  </si>
  <si>
    <t>Results by role</t>
  </si>
  <si>
    <t>Role (sheet)</t>
  </si>
  <si>
    <t>Total test cases</t>
  </si>
  <si>
    <t>Pass</t>
  </si>
  <si>
    <t>Fail</t>
  </si>
  <si>
    <t>Blocked</t>
  </si>
  <si>
    <t>Pass rate (Pass / Total)</t>
  </si>
  <si>
    <t>Buyer</t>
  </si>
  <si>
    <t>Seller</t>
  </si>
  <si>
    <t>Logistics</t>
  </si>
  <si>
    <t>Rider</t>
  </si>
  <si>
    <t>Total</t>
  </si>
  <si>
    <t>How to use this workbook</t>
  </si>
  <si>
    <t>1. Read the Assumptions sheet first. The rules are modeled on Philippine marketplaces, so adjust any case whose rule differs from your system.</t>
  </si>
  <si>
    <t>2. The Test Data sheet lists every form field with two ready-made accounts per role. The Test Files sheet lists the upload files to prepare. All people, companies and numbers are fictional.</t>
  </si>
  <si>
    <t>3. Emails use example.com, so nothing is delivered to a real inbox. Read OTP and activation emails from a mail catcher such as Mailtrap, or from your application's mail log.</t>
  </si>
  <si>
    <t>4. On each role sheet, run the Test Steps with the Test Data and compare what happens with the Expected Result. Use a spare email and mobile number from the Test Data sheet whenever a value marked (accept) creates another account.</t>
  </si>
  <si>
    <t>5. Dates of birth and license expiry dates in the boundary cases are calculated from today's date, so they are always correct on the day you test.</t>
  </si>
  <si>
    <t>6. Fill in only the yellow cells: Actual Result, Status and Remarks. Pick the Status from the dropdown (Pass, Fail, Blocked, Not Run).</t>
  </si>
  <si>
    <t>7. Pass = actual matches expected. Fail = it does not (describe what happened and add a screenshot or bug number in Remarks). Blocked = the case could not be run, for example because an earlier case failed.</t>
  </si>
  <si>
    <t>8. The Results by role table above updates automatically from the Status column.</t>
  </si>
  <si>
    <t>Example of a filled-in row (illustration only, not a real result)</t>
  </si>
  <si>
    <t>TC-BUY-010</t>
  </si>
  <si>
    <t>No message was shown. A second account was created with juanmiguel.delacruz@example.com.</t>
  </si>
  <si>
    <t>Bug #012. Screenshot: buy-010.png</t>
  </si>
  <si>
    <t>Black-box techniques used</t>
  </si>
  <si>
    <t>Inputs are grouped into valid and invalid classes, and one value from each class is tested.</t>
  </si>
  <si>
    <t>Values at and just beyond a limit are tested, for example 7 and 8 characters for a minimum of 8.</t>
  </si>
  <si>
    <t>Combinations of conditions are tested, for example each missing password character type.</t>
  </si>
  <si>
    <t>Changes in account status are tested, for example Unverified to Active or Pending Approval to Approved.</t>
  </si>
  <si>
    <t>A complete user flow is tested from start to finish with valid data.</t>
  </si>
  <si>
    <t>Likely mistakes are tested based on experience, for example double-clicking Register or pasting another role's URL.</t>
  </si>
  <si>
    <t>Test data and input details</t>
  </si>
  <si>
    <t>Every form field per role, with its rule and two complete sets of valid data. Account 1 is the main account in the test cases. Account 2 is for cases that need a second account. All people, companies, numbers and addresses are fictional.</t>
  </si>
  <si>
    <t>Buyer: Self-registration</t>
  </si>
  <si>
    <t>Role</t>
  </si>
  <si>
    <t>Field</t>
  </si>
  <si>
    <t>Required</t>
  </si>
  <si>
    <t>Input type</t>
  </si>
  <si>
    <t>Format / rule</t>
  </si>
  <si>
    <t>Account 1 (valid)</t>
  </si>
  <si>
    <t>Account 2 (valid)</t>
  </si>
  <si>
    <t>First Name</t>
  </si>
  <si>
    <t>Yes</t>
  </si>
  <si>
    <t>Text</t>
  </si>
  <si>
    <t>2 to 50 characters; letters, spaces, hyphen, apostrophe, period</t>
  </si>
  <si>
    <t>Juan Miguel</t>
  </si>
  <si>
    <t>Ana Marie</t>
  </si>
  <si>
    <t>Last Name</t>
  </si>
  <si>
    <t>Dela Cruz</t>
  </si>
  <si>
    <t>Reyes</t>
  </si>
  <si>
    <t>Valid email format; unique</t>
  </si>
  <si>
    <t>juanmiguel.delacruz@example.com</t>
  </si>
  <si>
    <t>anamarie.reyes@example.com</t>
  </si>
  <si>
    <t>09XXXXXXXXX or +639XXXXXXXXX; unique</t>
  </si>
  <si>
    <t>09171234567</t>
  </si>
  <si>
    <t>09173456789</t>
  </si>
  <si>
    <t>Date of Birth</t>
  </si>
  <si>
    <t>Date picker</t>
  </si>
  <si>
    <t>At least 18 years old</t>
  </si>
  <si>
    <t>05/14/1998</t>
  </si>
  <si>
    <t>11/02/2001</t>
  </si>
  <si>
    <t>Min 8 characters; uppercase, lowercase, number, special character</t>
  </si>
  <si>
    <t>Mamimili@2026</t>
  </si>
  <si>
    <t>Suki#2026Ana</t>
  </si>
  <si>
    <t>Confirm Password</t>
  </si>
  <si>
    <t>Must match Password</t>
  </si>
  <si>
    <t>Checkbox</t>
  </si>
  <si>
    <t>Must be ticked</t>
  </si>
  <si>
    <t>Ticked</t>
  </si>
  <si>
    <t>Seller: Self-registration, then admin approval</t>
  </si>
  <si>
    <t>Maria Clara</t>
  </si>
  <si>
    <t>Roberto</t>
  </si>
  <si>
    <t>Santos</t>
  </si>
  <si>
    <t>Villanueva</t>
  </si>
  <si>
    <t>mariaclara.santos@example.com</t>
  </si>
  <si>
    <t>roberto.villanueva@example.com</t>
  </si>
  <si>
    <t>09189876543</t>
  </si>
  <si>
    <t>09194567890</t>
  </si>
  <si>
    <t>Shop Name</t>
  </si>
  <si>
    <t>3 to 30 characters; unique</t>
  </si>
  <si>
    <t>Maria Clara Handicrafts</t>
  </si>
  <si>
    <t>RV Gadget Hub</t>
  </si>
  <si>
    <t>Shop Category</t>
  </si>
  <si>
    <t>Dropdown</t>
  </si>
  <si>
    <t>One main category</t>
  </si>
  <si>
    <t>Home &amp; Living</t>
  </si>
  <si>
    <t>Mobiles &amp; Gadgets</t>
  </si>
  <si>
    <t>Seller Type</t>
  </si>
  <si>
    <t>Individual, Sole Proprietorship or Corporation</t>
  </si>
  <si>
    <t>Sole Proprietorship</t>
  </si>
  <si>
    <t>Corporation</t>
  </si>
  <si>
    <t>TIN</t>
  </si>
  <si>
    <t>000-000-000-000 (12 digits); unique</t>
  </si>
  <si>
    <t>123-456-789-000</t>
  </si>
  <si>
    <t>456-789-012-000</t>
  </si>
  <si>
    <t>Region</t>
  </si>
  <si>
    <t>Philippine regions</t>
  </si>
  <si>
    <t>National Capital Region (NCR)</t>
  </si>
  <si>
    <t>Region VII (Central Visayas)</t>
  </si>
  <si>
    <t>Province</t>
  </si>
  <si>
    <t>Filtered by Region</t>
  </si>
  <si>
    <t>Metro Manila</t>
  </si>
  <si>
    <t>Cebu</t>
  </si>
  <si>
    <t>City / Municipality</t>
  </si>
  <si>
    <t>Filtered by Province</t>
  </si>
  <si>
    <t>Quezon City</t>
  </si>
  <si>
    <t>Cebu City</t>
  </si>
  <si>
    <t>Barangay</t>
  </si>
  <si>
    <t>Filtered by City / Municipality</t>
  </si>
  <si>
    <t>Commonwealth</t>
  </si>
  <si>
    <t>Lahug</t>
  </si>
  <si>
    <t>Street Address</t>
  </si>
  <si>
    <t>House, unit or lot number and street</t>
  </si>
  <si>
    <t>Blk 12 Lot 8, Sampaguita St.</t>
  </si>
  <si>
    <t>2F, 45 Gorordo Ave.</t>
  </si>
  <si>
    <t>Postal Code</t>
  </si>
  <si>
    <t>Exactly 4 digits</t>
  </si>
  <si>
    <t>1121</t>
  </si>
  <si>
    <t>6000</t>
  </si>
  <si>
    <t>Government-issued ID (upload)</t>
  </si>
  <si>
    <t>File</t>
  </si>
  <si>
    <t>JPG, PNG or PDF; max 5 MB</t>
  </si>
  <si>
    <t>govt_id_front.jpg (1.2 MB)</t>
  </si>
  <si>
    <t>govt_id_front.png (2.4 MB)</t>
  </si>
  <si>
    <t>DTI Certificate (upload)</t>
  </si>
  <si>
    <t>Sole Proprietorship only</t>
  </si>
  <si>
    <t>dti_certificate.pdf (850 KB)</t>
  </si>
  <si>
    <t>Not applicable</t>
  </si>
  <si>
    <t>SEC Certificate (upload)</t>
  </si>
  <si>
    <t>Corporation only</t>
  </si>
  <si>
    <t>sec_certificate.pdf (1.0 MB)</t>
  </si>
  <si>
    <t>BIR Form 2303 (upload)</t>
  </si>
  <si>
    <t>Sole Proprietorship and Corporation</t>
  </si>
  <si>
    <t>bir_2303.pdf (1.1 MB)</t>
  </si>
  <si>
    <t>Tindahan@2026</t>
  </si>
  <si>
    <t>Gadget#Hub26</t>
  </si>
  <si>
    <t>Logistics: Self-registration, then admin approval</t>
  </si>
  <si>
    <t>Company Name</t>
  </si>
  <si>
    <t>Unique</t>
  </si>
  <si>
    <t>Bilis Hatid Express Inc.</t>
  </si>
  <si>
    <t>Agila Cargo Movers Corp.</t>
  </si>
  <si>
    <t>SEC Registration No.</t>
  </si>
  <si>
    <t>2 letters followed by 9 digits; unique</t>
  </si>
  <si>
    <t>CS202012345</t>
  </si>
  <si>
    <t>CS201998765</t>
  </si>
  <si>
    <t>234-567-890-000</t>
  </si>
  <si>
    <t>567-890-123-000</t>
  </si>
  <si>
    <t>Region XI (Davao Region)</t>
  </si>
  <si>
    <t>Davao del Sur</t>
  </si>
  <si>
    <t>Pasig City</t>
  </si>
  <si>
    <t>Davao City</t>
  </si>
  <si>
    <t>Kapitolyo</t>
  </si>
  <si>
    <t>Buhangin</t>
  </si>
  <si>
    <t>Unit 5B, 88 West Capitol Drive</t>
  </si>
  <si>
    <t>Door 3, 210 Sampaguita St.</t>
  </si>
  <si>
    <t>1603</t>
  </si>
  <si>
    <t>8000</t>
  </si>
  <si>
    <t>Contact Person First Name</t>
  </si>
  <si>
    <t>Carlos Antonio</t>
  </si>
  <si>
    <t>Liza Mae</t>
  </si>
  <si>
    <t>Contact Person Last Name</t>
  </si>
  <si>
    <t>Mendoza</t>
  </si>
  <si>
    <t>Fernandez</t>
  </si>
  <si>
    <t>Position</t>
  </si>
  <si>
    <t>Job title of the contact person</t>
  </si>
  <si>
    <t>Operations Manager</t>
  </si>
  <si>
    <t>General Manager</t>
  </si>
  <si>
    <t>operations@bilishatid.example.com</t>
  </si>
  <si>
    <t>admin@agilacargo.example.com</t>
  </si>
  <si>
    <t>09285551234</t>
  </si>
  <si>
    <t>09396667890</t>
  </si>
  <si>
    <t>Service Areas</t>
  </si>
  <si>
    <t>Multi-select</t>
  </si>
  <si>
    <t>At least one region</t>
  </si>
  <si>
    <t>NCR; Region IV-A (CALABARZON)</t>
  </si>
  <si>
    <t>Mayor's / Business Permit (upload)</t>
  </si>
  <si>
    <t>mayors_permit.pdf (1.3 MB)</t>
  </si>
  <si>
    <t>Valid ID of Authorized Representative (upload)</t>
  </si>
  <si>
    <t>Hatid@2026</t>
  </si>
  <si>
    <t>Agila#Cargo26</t>
  </si>
  <si>
    <t>Rider: Created by an Approved logistics account</t>
  </si>
  <si>
    <t>Pedro Jose</t>
  </si>
  <si>
    <t>Mark Anthony</t>
  </si>
  <si>
    <t>Garcia</t>
  </si>
  <si>
    <t>Bautista</t>
  </si>
  <si>
    <t>03/22/1995</t>
  </si>
  <si>
    <t>08/09/1999</t>
  </si>
  <si>
    <t>pedrojose.garcia@example.com</t>
  </si>
  <si>
    <t>markanthony.bautista@example.com</t>
  </si>
  <si>
    <t>09451239876</t>
  </si>
  <si>
    <t>09662345678</t>
  </si>
  <si>
    <t>Driver's License No.</t>
  </si>
  <si>
    <t>A00-00-000000; unique</t>
  </si>
  <si>
    <t>N01-23-456789</t>
  </si>
  <si>
    <t>D05-19-123456</t>
  </si>
  <si>
    <t>License Expiry Date</t>
  </si>
  <si>
    <t>Today or later</t>
  </si>
  <si>
    <t>03/22/2030</t>
  </si>
  <si>
    <t>08/09/2031</t>
  </si>
  <si>
    <t>Vehicle Type</t>
  </si>
  <si>
    <t>Motorcycle, Car or Van</t>
  </si>
  <si>
    <t>Motorcycle</t>
  </si>
  <si>
    <t>Van</t>
  </si>
  <si>
    <t>Plate Number</t>
  </si>
  <si>
    <t>123ABC</t>
  </si>
  <si>
    <t>NBC1234</t>
  </si>
  <si>
    <t>Driver's License (upload)</t>
  </si>
  <si>
    <t>drivers_license.jpg (1.5 MB)</t>
  </si>
  <si>
    <t>drivers_license.png (2.0 MB)</t>
  </si>
  <si>
    <t>Vehicle OR/CR (upload)</t>
  </si>
  <si>
    <t>or_cr.pdf (900 KB)</t>
  </si>
  <si>
    <t>Password (set by the rider at activation)</t>
  </si>
  <si>
    <t>Rider@2026</t>
  </si>
  <si>
    <t>Hatid#Mark26</t>
  </si>
  <si>
    <t>Other values</t>
  </si>
  <si>
    <t>Spare emails for repeat attempts</t>
  </si>
  <si>
    <t>buyer.test01@example.com to buyer.test10@example.com (same pattern for seller.test, logistics.test and rider.test)</t>
  </si>
  <si>
    <t>Spare mobile numbers for repeat attempts</t>
  </si>
  <si>
    <t>09170000001 to 09170000020</t>
  </si>
  <si>
    <t>Admin account for approval tests</t>
  </si>
  <si>
    <t>Use the admin account already seeded in your system</t>
  </si>
  <si>
    <t>Upload files to prepare</t>
  </si>
  <si>
    <t>Prepare these files before testing the document uploads. Use sample or blank documents, not anyone's real ID or certificate. The size limit is 5 MB, which is 5,120 KB or 5,242,880 bytes.</t>
  </si>
  <si>
    <t>File name</t>
  </si>
  <si>
    <t>Type</t>
  </si>
  <si>
    <t>Size</t>
  </si>
  <si>
    <t>Used for</t>
  </si>
  <si>
    <t>Expected result</t>
  </si>
  <si>
    <t>govt_id_front.jpg</t>
  </si>
  <si>
    <t>JPG</t>
  </si>
  <si>
    <t>1.2 MB</t>
  </si>
  <si>
    <t>Valid government ID</t>
  </si>
  <si>
    <t>Accept</t>
  </si>
  <si>
    <t>govt_id_front.png</t>
  </si>
  <si>
    <t>PNG</t>
  </si>
  <si>
    <t>2.4 MB</t>
  </si>
  <si>
    <t>Valid government ID in PNG</t>
  </si>
  <si>
    <t>dti_certificate.pdf</t>
  </si>
  <si>
    <t>PDF</t>
  </si>
  <si>
    <t>850 KB</t>
  </si>
  <si>
    <t>DTI Certificate of Business Name Registration</t>
  </si>
  <si>
    <t>dti_certificate_clear.pdf</t>
  </si>
  <si>
    <t>1.0 MB</t>
  </si>
  <si>
    <t>Replacement document for the resubmit test (seller)</t>
  </si>
  <si>
    <t>sec_certificate.pdf</t>
  </si>
  <si>
    <t>SEC Certificate of Registration</t>
  </si>
  <si>
    <t>bir_2303.pdf</t>
  </si>
  <si>
    <t>1.1 MB</t>
  </si>
  <si>
    <t>BIR Certificate of Registration (Form 2303)</t>
  </si>
  <si>
    <t>mayors_permit.pdf</t>
  </si>
  <si>
    <t>1.3 MB</t>
  </si>
  <si>
    <t>Mayor's / Business Permit</t>
  </si>
  <si>
    <t>mayors_permit_2026.pdf</t>
  </si>
  <si>
    <t>Replacement document for the resubmit test (logistics)</t>
  </si>
  <si>
    <t>drivers_license.jpg</t>
  </si>
  <si>
    <t>1.5 MB</t>
  </si>
  <si>
    <t>Rider's driver's license</t>
  </si>
  <si>
    <t>drivers_license.png</t>
  </si>
  <si>
    <t>2.0 MB</t>
  </si>
  <si>
    <t>Rider's driver's license in PNG</t>
  </si>
  <si>
    <t>drivers_license.pdf</t>
  </si>
  <si>
    <t>700 KB</t>
  </si>
  <si>
    <t>Rider's driver's license in PDF</t>
  </si>
  <si>
    <t>or_cr.pdf</t>
  </si>
  <si>
    <t>900 KB</t>
  </si>
  <si>
    <t>Vehicle Official Receipt and Certificate of Registration</t>
  </si>
  <si>
    <t>size_4.9MB.jpg</t>
  </si>
  <si>
    <t>4.9 MB (5,138,022 bytes)</t>
  </si>
  <si>
    <t>Just under the size limit</t>
  </si>
  <si>
    <t>size_5.0MB.jpg</t>
  </si>
  <si>
    <t>5.0 MB (5,242,880 bytes)</t>
  </si>
  <si>
    <t>Exactly at the size limit</t>
  </si>
  <si>
    <t>size_5.1MB.jpg</t>
  </si>
  <si>
    <t>5.1 MB (5,347,738 bytes)</t>
  </si>
  <si>
    <t>Just over the size limit</t>
  </si>
  <si>
    <t>Reject</t>
  </si>
  <si>
    <t>price_list.docx</t>
  </si>
  <si>
    <t>DOCX</t>
  </si>
  <si>
    <t>320 KB</t>
  </si>
  <si>
    <t>Wrong file type (Word document)</t>
  </si>
  <si>
    <t>store_banner.gif</t>
  </si>
  <si>
    <t>GIF</t>
  </si>
  <si>
    <t>480 KB</t>
  </si>
  <si>
    <t>Wrong file type (GIF image)</t>
  </si>
  <si>
    <t>installer.exe</t>
  </si>
  <si>
    <t>EXE</t>
  </si>
  <si>
    <t>2.1 MB</t>
  </si>
  <si>
    <t>Wrong file type (program)</t>
  </si>
  <si>
    <t>Assumptions used in the test cases</t>
  </si>
  <si>
    <t>These rules are modeled on Philippine marketplaces, not taken from your actual system. Write your real rule in column D where it differs, then filter the Assumption Ref column on each role sheet to find the test cases to adjust.</t>
  </si>
  <si>
    <t>Ref</t>
  </si>
  <si>
    <t>Topic</t>
  </si>
  <si>
    <t>Assumed rule</t>
  </si>
  <si>
    <t>Your system's actual rule (fill in if different)</t>
  </si>
  <si>
    <t>Form fields</t>
  </si>
  <si>
    <t>Each role's form has the fields listed on the Test Data sheet, modeled on Philippine marketplaces. Payout details (bank or e-wallet) are set up after approval, not during registration.</t>
  </si>
  <si>
    <t>Name rule</t>
  </si>
  <si>
    <t>2 to 50 characters. Letters (including ñ), spaces, hyphen, apostrophe and period only.</t>
  </si>
  <si>
    <t>Email rule</t>
  </si>
  <si>
    <t>Must be a valid email format. Unique across all roles (one email = one account). Not case-sensitive. Leading and trailing spaces are removed.</t>
  </si>
  <si>
    <t>Mobile number rule</t>
  </si>
  <si>
    <t>Philippine mobile number entered as 09XXXXXXXXX (11 digits) or +639XXXXXXXXX. Both forms are stored as the same number. Unique across all accounts.</t>
  </si>
  <si>
    <t>Password rule</t>
  </si>
  <si>
    <t>At least 8 characters with at least one uppercase letter, one lowercase letter, one number and one special character. Confirm Password must match.</t>
  </si>
  <si>
    <t>A6</t>
  </si>
  <si>
    <t>Date of birth rule</t>
  </si>
  <si>
    <t>Buyers and riders must be at least 18 years old on the day of registration. A future date is not allowed.</t>
  </si>
  <si>
    <t>Address rule</t>
  </si>
  <si>
    <t>Region, Province, City/Municipality and Barangay are linked dropdowns: each list depends on the one before it. Postal Code is exactly 4 digits.</t>
  </si>
  <si>
    <t>TIN rule</t>
  </si>
  <si>
    <t>12 digits in the form 000-000-000-000 (9-digit TIN plus 3-digit branch code). Unique across seller and logistics accounts.</t>
  </si>
  <si>
    <t>Email verification (OTP)</t>
  </si>
  <si>
    <t>A 6-digit numeric code is emailed after registration. It is valid for 5 minutes. Resending creates a new code and cancels the old one. An account cannot be used until it is verified.</t>
  </si>
  <si>
    <t>Document upload rule</t>
  </si>
  <si>
    <t>Accepted file types: JPG, PNG, PDF. Maximum size: 5 MB (5,120 KB) per file.</t>
  </si>
  <si>
    <t>Seller documents by seller type</t>
  </si>
  <si>
    <t>Individual: Government-issued ID. Sole Proprietorship: Government-issued ID, DTI Certificate and BIR Form 2303. Corporation: Government-issued ID of the representative, SEC Certificate and BIR Form 2303.</t>
  </si>
  <si>
    <t>Account status flow</t>
  </si>
  <si>
    <t>Buyer: Unverified, then Active after OTP. Seller and Logistics: Unverified, then Pending Approval after OTP, then Approved or Rejected by an admin. A rejected applicant can correct the details and resubmit.</t>
  </si>
  <si>
    <t>A13</t>
  </si>
  <si>
    <t>Rider account flow</t>
  </si>
  <si>
    <t>Riders cannot register themselves. Only an Approved logistics account can create a rider. The rider starts as Pending Activation and becomes Active after setting a password through an emailed activation link, which is valid for 24 hours. Riders do not need separate admin approval.</t>
  </si>
  <si>
    <t>Unique business identifiers</t>
  </si>
  <si>
    <t>Shop Name (3 to 30 characters), Company Name, SEC Registration No. (2 letters followed by 9 digits), Driver's License No. and Plate Number must each be unique.</t>
  </si>
  <si>
    <t>A15</t>
  </si>
  <si>
    <t>Driver's license rule</t>
  </si>
  <si>
    <t>License number follows the LTO form A00-00-000000 (1 letter and 11 digits). The expiry date must be today or a later date.</t>
  </si>
  <si>
    <t>Role-based access</t>
  </si>
  <si>
    <t>Each role can open only its own pages. Opening another role's page is denied (error 403 or redirect).</t>
  </si>
  <si>
    <t>TC-BUY-001</t>
  </si>
  <si>
    <t>The buyer registration page is open. The email, mobile number and other unique values in the test data are not yet registered.</t>
  </si>
  <si>
    <t>First Name: Juan Miguel
Last Name: Dela Cruz
Email: juanmiguel.delacruz@example.com
Mobile Number: 09171234567
Date of Birth: 05/14/1998
Password: Mamimili@2026
Confirm Password: Mamimili@2026
Terms and Privacy Policy: Ticked</t>
  </si>
  <si>
    <t>everything is functional and working</t>
  </si>
  <si>
    <t xml:space="preserve"> Run</t>
  </si>
  <si>
    <t>TC-BUY-002</t>
  </si>
  <si>
    <t>The buyer registration page is open.</t>
  </si>
  <si>
    <t xml:space="preserve">Completely Blank registration gets blocked </t>
  </si>
  <si>
    <t>TC-BUY-003</t>
  </si>
  <si>
    <t>Clear in turn:
First Name
Last Name
Email
Mobile Number
Date of Birth
Password
Confirm Password</t>
  </si>
  <si>
    <t>Registration required field message gets shown on every missing field</t>
  </si>
  <si>
    <t>TC-BUY-004</t>
  </si>
  <si>
    <t>First Name: Juan Miguel123
Last Name: Dela Cruz@#</t>
  </si>
  <si>
    <t>Inputting numbers on name fields gets blocked</t>
  </si>
  <si>
    <t>TC-BUY-005</t>
  </si>
  <si>
    <t>First Name: Niño Angelo
Last Name: Peñaflor-O'Hara</t>
  </si>
  <si>
    <t>Name with ñ gets accepted</t>
  </si>
  <si>
    <t>TC-BUY-006</t>
  </si>
  <si>
    <t>1 character: J (reject)
2 characters: Jo (accept)
50 characters: Maria Cristina Angelica Bernadette Josefina Leonor (accept)
51 characters: Maria Cristina Angelica Bernadette Josefina Leonora (reject)</t>
  </si>
  <si>
    <t>1 - 51 length names and characters still gets accepted</t>
  </si>
  <si>
    <t>TC-BUY-007</t>
  </si>
  <si>
    <t>Age at the 18-year limit</t>
  </si>
  <si>
    <t>1. Fill in all other fields with valid data.
2. Enter each date of birth in the test data, one per attempt.
3. Click Register.</t>
  </si>
  <si>
    <t>The 17-year-old date is rejected with a message that the person must be at least 18. The other two dates are accepted.</t>
  </si>
  <si>
    <t>Minors are rejected.</t>
  </si>
  <si>
    <t>TC-BUY-008</t>
  </si>
  <si>
    <t>Date of birth in the future</t>
  </si>
  <si>
    <t>1. Fill in all other fields with valid data.
2. Enter the date of birth in the test data.
3. Click Register.</t>
  </si>
  <si>
    <t>Registration is blocked. A message asks for a valid date of birth. If a date picker is used, future dates cannot be selected.</t>
  </si>
  <si>
    <t>Registration is blocked.</t>
  </si>
  <si>
    <t>TC-BUY-009</t>
  </si>
  <si>
    <t>juanmiguel.delacruzexample.com (no @)
juanmiguel.delacruz@ (no domain)
@example.com (no name)
juanmiguel.delacruz@example (no .com)
juanmiguel delacruz@example.com (space)</t>
  </si>
  <si>
    <t>Invalid email address prompts a message that the email is missing @ preventing the account from being created</t>
  </si>
  <si>
    <t>The buyer registration page is open. The buyer account juanmiguel.delacruz@example.com already exists.</t>
  </si>
  <si>
    <t>Email: juanmiguel.delacruz@example.com</t>
  </si>
  <si>
    <t>When creating an account with a already registered email the registration gets blocked</t>
  </si>
  <si>
    <t>TC-BUY-011</t>
  </si>
  <si>
    <t>Email: JUANMIGUEL.DELACRUZ@EXAMPLE.COM</t>
  </si>
  <si>
    <t>Email address inputted with capital letters treats the email as a duplicate from a normal email address</t>
  </si>
  <si>
    <t>TC-BUY-012</t>
  </si>
  <si>
    <t>Email: "  buyer.test01@example.com  "</t>
  </si>
  <si>
    <t>The spaces are removed and the email is saved as buyer.test01@example.com.</t>
  </si>
  <si>
    <t>Email address with space before it still saves the email without space</t>
  </si>
  <si>
    <t>TC-BUY-013</t>
  </si>
  <si>
    <t>Invalid symbols and letters is prevented from being inputted</t>
  </si>
  <si>
    <t>TC-BUY-014</t>
  </si>
  <si>
    <t>Mobile number exceeding 11 digits prevents additional numbers from being inputted</t>
  </si>
  <si>
    <t>TC-BUY-015</t>
  </si>
  <si>
    <t>The buyer registration page is open. An account already exists with mobile number 09171234567.</t>
  </si>
  <si>
    <t>Mobile: 09171234567</t>
  </si>
  <si>
    <t>Mobile number not yet included.</t>
  </si>
  <si>
    <t>TC-BUY-016</t>
  </si>
  <si>
    <t>Mobile: +639171234567</t>
  </si>
  <si>
    <t xml:space="preserve">Doesn't accept + sign </t>
  </si>
  <si>
    <t>TC-BUY-017</t>
  </si>
  <si>
    <t>7 characters: Bili@26 (reject)
8 characters: Bili@202 (accept)</t>
  </si>
  <si>
    <t>It accepted 8 characters so its good</t>
  </si>
  <si>
    <t>TC-BUY-018</t>
  </si>
  <si>
    <t>No uppercase: mamimili@2026
No lowercase: MAMIMILI@2026
No number: Mamimili@abcd
No special character: Mamimili2026</t>
  </si>
  <si>
    <t>Accepted no number password</t>
  </si>
  <si>
    <t>TC-BUY-019</t>
  </si>
  <si>
    <t>Password: Mamimili@2026
Confirm Password: Mamimili@2027</t>
  </si>
  <si>
    <t>Doesn’t accept mismatch password</t>
  </si>
  <si>
    <t>TC-BUY-020</t>
  </si>
  <si>
    <t>Password: Mamimili@2026</t>
  </si>
  <si>
    <t>The symbol works when hiding and showing</t>
  </si>
  <si>
    <t>TC-BUY-021</t>
  </si>
  <si>
    <t>No terms and privacy policy.</t>
  </si>
  <si>
    <t>TC-BUY-022</t>
  </si>
  <si>
    <t>Account was created without OTP</t>
  </si>
  <si>
    <t>TC-BUY-023</t>
  </si>
  <si>
    <t>The buyer account juanmiguel.delacruz@example.com was just registered and is Unverified. The verification page is open and the OTP email has been read from the mail catcher.</t>
  </si>
  <si>
    <t>Verification succeeds. The account status changes from Unverified to Active. A success message is shown and the login page (or home page) opens.</t>
  </si>
  <si>
    <t>Account was created with OTP Verfication</t>
  </si>
  <si>
    <t>TC-BUY-024</t>
  </si>
  <si>
    <t>Verification failed because the OTP is not accurate</t>
  </si>
  <si>
    <t>TC-BUY-025</t>
  </si>
  <si>
    <t>All values are rejected</t>
  </si>
  <si>
    <t>TC-BUY-026</t>
  </si>
  <si>
    <t>Failed verification with message. Code has expired. Resend option is offered</t>
  </si>
  <si>
    <t>TC-BUY-027</t>
  </si>
  <si>
    <t>OTP on email arrives. First code rejected while the second one is accepted</t>
  </si>
  <si>
    <t>TC-BUY-028</t>
  </si>
  <si>
    <t>The buyer account juanmiguel.delacruz@example.com exists with status Unverified.</t>
  </si>
  <si>
    <t>Email: juanmiguel.delacruz@example.com
Password: Mamimili@2026</t>
  </si>
  <si>
    <t>User is not given access.</t>
  </si>
  <si>
    <t>TC-BUY-029</t>
  </si>
  <si>
    <t>Log in with the new verified account</t>
  </si>
  <si>
    <t>The buyer account juanmiguel.delacruz@example.com is verified and Active.</t>
  </si>
  <si>
    <t>1. Open the login page.
2. Enter the email and password.
3. Click Log In.</t>
  </si>
  <si>
    <t>Login succeeds. The buyer home page opens and the name Juan Miguel is shown.</t>
  </si>
  <si>
    <t>Login succeeds.</t>
  </si>
  <si>
    <t>TC-BUY-030</t>
  </si>
  <si>
    <t>Seller dashboard
Logistics dashboard
Rider dashboard
Admin dashboard</t>
  </si>
  <si>
    <t>Access is denied. Error 403</t>
  </si>
  <si>
    <t>TC-LOG-001</t>
  </si>
  <si>
    <t>The logistics registration page is open. The email, mobile number and other unique values in the test data are not yet registered.</t>
  </si>
  <si>
    <t>Company Name: Bilis Hatid Express Inc.
SEC Registration No.: CS202012345
TIN: 234-567-890-000
Region: National Capital Region (NCR)
Province: Metro Manila
City / Municipality: Pasig City
Barangay: Kapitolyo
Street Address: Unit 5B, 88 West Capitol Drive
Postal Code: 1603
Contact Person First Name: Carlos Antonio
Contact Person Last Name: Mendoza
Position: Operations Manager
Email: operations@bilishatid.example.com
Mobile Number: 09285551234
Service Areas: NCR; Region IV-A (CALABARZON)
SEC Certificate (upload): sec_certificate.pdf (1.0 MB)
BIR Form 2303 (upload): bir_2303.pdf (1.1 MB)
Mayor's / Business Permit (upload): mayors_permit.pdf (1.3 MB)
Valid ID of Authorized Representative (upload): govt_id_front.jpg (1.2 MB)
Password: Hatid@2026
Confirm Password: Hatid@2026
Terms and Privacy Policy: Ticked</t>
  </si>
  <si>
    <t>The 6 digit send OTP to email. But the form will fill up right after registration. It has no validation error also</t>
  </si>
  <si>
    <t>TC-LOG-002</t>
  </si>
  <si>
    <t>The logistics registration page is open.</t>
  </si>
  <si>
    <t>Registration is not blocked. Account still created but not verified until the requirements is fulfill in the profile</t>
  </si>
  <si>
    <t>TC-LOG-003</t>
  </si>
  <si>
    <t>Clear in turn:
Company Name
SEC Registration No.
TIN
Region
Province
City / Municipality
Barangay
Street Address
Postal Code
Contact Person First Name
Contact Person Last Name
Position
Email
Mobile Number
Service Areas
SEC Certificate (upload)
BIR Form 2303 (upload)
Mayor's / Business Permit (upload)
Valid ID of Authorized Representative (upload)
Password
Confirm Password</t>
  </si>
  <si>
    <t>registration is not blocked but a required - field message shown on the blank field only. Account is not created</t>
  </si>
  <si>
    <t>TC-LOG-004</t>
  </si>
  <si>
    <t>First Name: Carlos Antonio7
Last Name: Dela Cruz@#</t>
  </si>
  <si>
    <t>Numbers or special character is blocked. Letters is only allowed</t>
  </si>
  <si>
    <t>TC-LOG-005</t>
  </si>
  <si>
    <t>First Name: Iñigo Rafael
Last Name: Muñoz-D'Angelo</t>
  </si>
  <si>
    <t>ñ is not accepted</t>
  </si>
  <si>
    <t>TC-LOG-006</t>
  </si>
  <si>
    <t>1 character: C (reject)
2 characters: Co (accept)
50 characters: Maria Cristina Angelica Bernadette Josefina Leonor (accept)
51 characters: Maria Cristina Angelica Bernadette Josefina Leonora (reject)</t>
  </si>
  <si>
    <t>2 and 50 characters are accepted</t>
  </si>
  <si>
    <t>TC-LOG-007</t>
  </si>
  <si>
    <t>operations.bilishatidexample.com (no @)
operations.bilishatid@ (no domain)
@example.com (no name)
operations.bilishatid@example (no .com)
operations bilishatid@example.com (space)</t>
  </si>
  <si>
    <t>Asking for a valid email address.</t>
  </si>
  <si>
    <t>TC-LOG-008</t>
  </si>
  <si>
    <t>The logistics registration page is open. The logistics account operations@bilishatid.example.com (Bilis Hatid Express Inc.) already exists.</t>
  </si>
  <si>
    <t>Email: operations@bilishatid.example.com</t>
  </si>
  <si>
    <t>Registration is blocked when the email is already in used</t>
  </si>
  <si>
    <t>TC-LOG-009</t>
  </si>
  <si>
    <t>Email: OPERATIONS@BILISHATID.EXAMPLE.COM</t>
  </si>
  <si>
    <t>TC-LOG-010</t>
  </si>
  <si>
    <t>Email: "  logistics.test01@example.com  "</t>
  </si>
  <si>
    <t>The spaces are removed and the email is saved as logistics.test01@example.com.</t>
  </si>
  <si>
    <t xml:space="preserve">the spaces are not removed </t>
  </si>
  <si>
    <t>TC-LOG-011</t>
  </si>
  <si>
    <t>The other characters is blocked execpt numbers.</t>
  </si>
  <si>
    <t>TC-LOG-012</t>
  </si>
  <si>
    <t>TC-LOG-013</t>
  </si>
  <si>
    <t>The logistics registration page is open. An account already exists with mobile number 09285551234.</t>
  </si>
  <si>
    <t>Mobile: 09285551234</t>
  </si>
  <si>
    <t>TC-LOG-014</t>
  </si>
  <si>
    <t>Mobile: +639285551234</t>
  </si>
  <si>
    <t>The +63 format is not recognised as the same number. Registration is blocked. A message says the mobile number is already in use.</t>
  </si>
  <si>
    <t>TC-LOG-015</t>
  </si>
  <si>
    <t>7 characters: Hati@26 (reject)
8 characters: Hatid@26 (accept)</t>
  </si>
  <si>
    <t>TC-LOG-016</t>
  </si>
  <si>
    <t>No uppercase: hatid@2026
No lowercase: HATID@2026
No number: Hatid@abcd
No special character: Hatid2026</t>
  </si>
  <si>
    <t>TC-LOG-017</t>
  </si>
  <si>
    <t>Password: Hatid@2026
Confirm Password: Hatid@2027</t>
  </si>
  <si>
    <t>TC-LOG-018</t>
  </si>
  <si>
    <t>Password: Hatid@2026</t>
  </si>
  <si>
    <t>TC-LOG-019</t>
  </si>
  <si>
    <t>Registration is blocked. A message says not the exact error</t>
  </si>
  <si>
    <t>TC-LOG-020</t>
  </si>
  <si>
    <t>TC-LOG-021</t>
  </si>
  <si>
    <t>Company Details</t>
  </si>
  <si>
    <t>Company name already registered</t>
  </si>
  <si>
    <t>1. Fill in all other fields with valid data.
2. Enter the existing company name.
3. Click Register.</t>
  </si>
  <si>
    <t>Company Name: Bilis Hatid Express Inc.</t>
  </si>
  <si>
    <t>Registration is blocked. A message says the company name is already registered.</t>
  </si>
  <si>
    <t>TC-LOG-022</t>
  </si>
  <si>
    <t>SEC registration number in an invalid format</t>
  </si>
  <si>
    <t>1. Fill in all other fields with valid data.
2. Enter each SEC registration number in the test data, one per attempt.
3. Click Register.</t>
  </si>
  <si>
    <t>CS20201234 (8 digits)
202012345CS (letters at the end)
CS2020-12345 (symbol)
12345678901 (no letters)</t>
  </si>
  <si>
    <t>Each value is rejected with a message showing the expected format (2 letters followed by 9 digits).</t>
  </si>
  <si>
    <t>TC-LOG-023</t>
  </si>
  <si>
    <t>SEC registration number already registered</t>
  </si>
  <si>
    <t>1. Fill in all other fields with valid data.
2. Enter the existing SEC registration number.
3. Click Register.</t>
  </si>
  <si>
    <t>SEC Registration No.: CS202012345</t>
  </si>
  <si>
    <t>Registration is blocked. A message says the SEC registration number is already in use.</t>
  </si>
  <si>
    <t>TC-LOG-024</t>
  </si>
  <si>
    <t>Select more than one service area</t>
  </si>
  <si>
    <t>1. Fill in all other fields with valid data.
2. Select the three regions in the test data.
3. Click Register.</t>
  </si>
  <si>
    <t>Service Areas: NCR; Region III (Central Luzon); Region IV-A (CALABARZON)</t>
  </si>
  <si>
    <t>All three regions are accepted and shown as selected. Registration continues to email verification.</t>
  </si>
  <si>
    <t>TC-LOG-025</t>
  </si>
  <si>
    <t>TC-LOG-026</t>
  </si>
  <si>
    <t>The logistics registration page is open. Another account already uses TIN 234-567-890-000.</t>
  </si>
  <si>
    <t>TIN: 234-567-890-000</t>
  </si>
  <si>
    <t>TC-LOG-027</t>
  </si>
  <si>
    <t>Company Address</t>
  </si>
  <si>
    <t>Region: National Capital Region (NCR)
Province: Metro Manila
City / Municipality: Pasig City
Barangay: Kapitolyo</t>
  </si>
  <si>
    <t>After the change, Province, City and Barangay are cleared. The Province list shows only Region VII provinces such as Cebu and Bohol. Pasig City and Kapitolyo can no longer be selected.</t>
  </si>
  <si>
    <t>TC-LOG-028</t>
  </si>
  <si>
    <t>3 digits: 160 (reject)
4 digits: 1603 (accept)
5 digits: 16030 (reject)
Letters: 16A3 (reject)</t>
  </si>
  <si>
    <t>TC-LOG-029</t>
  </si>
  <si>
    <t>SEC Certificate: sec_certificate.pdf (1.0 MB)
BIR Form 2303: bir_2303.pdf (1.1 MB)
Mayor's / Business Permit: mayors_permit.pdf (1.3 MB)
Valid ID: govt_id_front.jpg (1.2 MB), then govt_id_front.png (2.4 MB)</t>
  </si>
  <si>
    <t>TC-LOG-030</t>
  </si>
  <si>
    <t>1. Fill in all other fields with valid data.
2. Try to upload each file in the test data to Mayor's / Business Permit, one per attempt.
3. Click Register.</t>
  </si>
  <si>
    <t>TC-LOG-031</t>
  </si>
  <si>
    <t>1. Fill in all other fields with valid data.
2. Upload each file in the test data to Mayor's / Business Permit, one per attempt.
3. Click Register.</t>
  </si>
  <si>
    <t>TC-LOG-032</t>
  </si>
  <si>
    <t>The logistics account operations@bilishatid.example.com was just registered and is Unverified. The verification page is open and the OTP email has been read from the mail catcher.</t>
  </si>
  <si>
    <t>TC-LOG-033</t>
  </si>
  <si>
    <t>TC-LOG-034</t>
  </si>
  <si>
    <t>TC-LOG-035</t>
  </si>
  <si>
    <t>TC-LOG-036</t>
  </si>
  <si>
    <t>TC-LOG-037</t>
  </si>
  <si>
    <t>The logistics account operations@bilishatid.example.com exists with status Unverified.</t>
  </si>
  <si>
    <t>Email: operations@bilishatid.example.com
Password: Hatid@2026</t>
  </si>
  <si>
    <t>TC-LOG-038</t>
  </si>
  <si>
    <t>Pending logistics logs in</t>
  </si>
  <si>
    <t>The logistics account operations@bilishatid.example.com is verified and has status Pending Approval.</t>
  </si>
  <si>
    <t>1. Log in with the pending logistics account.
2. Try to open the logistics dashboard.</t>
  </si>
  <si>
    <t>A notice says the application is under review. The logistics cannot add riders or accept deliveries.</t>
  </si>
  <si>
    <t>TC-LOG-039</t>
  </si>
  <si>
    <t>The logistics account operations@bilishatid.example.com has status Pending Approval. An admin account is logged in.</t>
  </si>
  <si>
    <t>1. Open the pending logistics applications.
2. Open the application of Bilis Hatid Express Inc..
3. Open each uploaded document.</t>
  </si>
  <si>
    <t>Applicant: Bilis Hatid Express Inc.
Email: operations@bilishatid.example.com</t>
  </si>
  <si>
    <t>TC-LOG-040</t>
  </si>
  <si>
    <t>The application of Bilis Hatid Express Inc. is Pending Approval. An admin account is logged in.</t>
  </si>
  <si>
    <t>1. Open the application.
2. Click Approve and confirm.
3. Log in with the logistics account.</t>
  </si>
  <si>
    <t>Applicant: Bilis Hatid Express Inc.
Email: operations@bilishatid.example.com
Password: Hatid@2026</t>
  </si>
  <si>
    <t>Status changes to Approved. An approval email is sent to operations@bilishatid.example.com. On login, the logistics dashboard opens.</t>
  </si>
  <si>
    <t>TC-LOG-041</t>
  </si>
  <si>
    <t>A second logistics application is Pending Approval (use the Account 2 data). An admin account is logged in.</t>
  </si>
  <si>
    <t>1. Open the application.
2. Click Reject, type the reason, and confirm.
3. Log in with the logistics account.</t>
  </si>
  <si>
    <t>Reason: Mayor's permit expired on 12/31/2025.</t>
  </si>
  <si>
    <t>Status changes to Rejected. The logistics receives an email containing the reason. On login, the reason is shown and the logistics dashboard is not available.</t>
  </si>
  <si>
    <t>TC-LOG-042</t>
  </si>
  <si>
    <t>Rejected logistics corrects and resubmits</t>
  </si>
  <si>
    <t>The logistics application from the previous case has status Rejected.</t>
  </si>
  <si>
    <t>1. Log in with the rejected logistics account.
2. Replace the Mayor's / Business Permit.
3. Click Resubmit.</t>
  </si>
  <si>
    <t>Mayor's / Business Permit: mayors_permit_2026.pdf (1.2 MB)</t>
  </si>
  <si>
    <t>TC-LOG-043</t>
  </si>
  <si>
    <t>1. Paste the address of the admin's logistics applications page into the browser.
2. Press Enter.</t>
  </si>
  <si>
    <t>Admin page for logistics applications (copy the address while logged in as admin)</t>
  </si>
  <si>
    <t>TC-LOG-044</t>
  </si>
  <si>
    <t>The Approved logistics account operations@bilishatid.example.com is logged in.</t>
  </si>
  <si>
    <t>Admin dashboard
Seller dashboard
Rider dashboard</t>
  </si>
  <si>
    <t>TC-RID-001</t>
  </si>
  <si>
    <t>Add Rider Form</t>
  </si>
  <si>
    <t>Create a rider with all valid data</t>
  </si>
  <si>
    <t>The Approved logistics account operations@bilishatid.example.com is logged in and the Add Rider form is open. The email, mobile number, license number and plate number in the test data are not yet registered.</t>
  </si>
  <si>
    <t>1. Fill in every field with the test data.
2. Click Save.</t>
  </si>
  <si>
    <t>First Name: Pedro Jose
Last Name: Garcia
Date of Birth: 03/22/1995
Email: pedrojose.garcia@example.com
Mobile Number: 09451239876
Driver's License No.: N01-23-456789
License Expiry Date: 03/22/2030
Vehicle Type: Motorcycle
Plate Number: 123ABC
Driver's License (upload): drivers_license.jpg (1.5 MB)
Vehicle OR/CR (upload): or_cr.pdf (900 KB)</t>
  </si>
  <si>
    <t>The rider is saved with no validation errors and appears in the rider list of Bilis Hatid Express Inc. with status Pending Activation. An activation email is sent to pedrojose.garcia@example.com.</t>
  </si>
  <si>
    <t>A1, A13</t>
  </si>
  <si>
    <t>TC-RID-002</t>
  </si>
  <si>
    <t>The Approved logistics account operations@bilishatid.example.com is logged in and the Add Rider form is open.</t>
  </si>
  <si>
    <t>1. Leave every field blank and every dropdown on its default option.
2. Click Save.</t>
  </si>
  <si>
    <t>Saving is blocked. A required-field message is shown for every mandatory field. No rider is created and no email is sent.</t>
  </si>
  <si>
    <t>TC-RID-003</t>
  </si>
  <si>
    <t>1. Fill in all fields with valid data.
2. Clear one required field.
3. Click Save.
4. Repeat for each field in the test data.</t>
  </si>
  <si>
    <t>Clear in turn:
First Name
Last Name
Date of Birth
Email
Mobile Number
Driver's License No.
License Expiry Date
Vehicle Type
Plate Number
Driver's License (upload)
Vehicle OR/CR (upload)</t>
  </si>
  <si>
    <t>Each time, saving is blocked and a required-field message is shown on the blank field only. Other entered values (except uploads) are kept. No rider is created.</t>
  </si>
  <si>
    <t>TC-RID-004</t>
  </si>
  <si>
    <t>1. Fill in all other fields with valid data.
2. Enter the test data in the name fields.
3. Click Save.</t>
  </si>
  <si>
    <t>First Name: Pedro Jose99
Last Name: Dela Cruz@#</t>
  </si>
  <si>
    <t>Saving is blocked. A message on each name field says only letters are allowed.</t>
  </si>
  <si>
    <t>TC-RID-005</t>
  </si>
  <si>
    <t>1. Fill in all other fields with valid data.
2. Enter each first name in the test data, one per attempt.
3. Click Save.</t>
  </si>
  <si>
    <t>1 character: P (reject)
2 characters: Po (accept)
50 characters: Maria Cristina Angelica Bernadette Josefina Leonor (accept)
51 characters: Maria Cristina Angelica Bernadette Josefina Leonora (reject)</t>
  </si>
  <si>
    <t>TC-RID-006</t>
  </si>
  <si>
    <t>1. Fill in all other fields with valid data.
2. Enter each date of birth in the test data, one per attempt.
3. Click Save.</t>
  </si>
  <si>
    <t>TC-RID-007</t>
  </si>
  <si>
    <t>1. Fill in all other fields with valid data.
2. Enter each email in the test data, one per attempt.
3. Click Save.</t>
  </si>
  <si>
    <t>pedrojose.garciaexample.com (no @)
pedrojose.garcia@ (no domain)
@example.com (no name)
pedrojose.garcia@example (no .com)
pedrojose garcia@example.com (space)</t>
  </si>
  <si>
    <t>Each value is rejected with a message asking for a valid email address. No rider is created.</t>
  </si>
  <si>
    <t>TC-RID-008</t>
  </si>
  <si>
    <t>Email already used by an account of another role</t>
  </si>
  <si>
    <t>The Approved logistics account operations@bilishatid.example.com is logged in and the Add Rider form is open. The buyer account juanmiguel.delacruz@example.com already exists.</t>
  </si>
  <si>
    <t>1. Fill in all other fields with valid data.
2. Enter the existing email.
3. Click Save.</t>
  </si>
  <si>
    <t>Saving is blocked. A message says the email is already in use. No rider is created.</t>
  </si>
  <si>
    <t>TC-RID-009</t>
  </si>
  <si>
    <t>1. Fill in all other fields with valid data.
2. Enter each mobile number in the test data, one per attempt.
3. Click Save.</t>
  </si>
  <si>
    <t>TC-RID-010</t>
  </si>
  <si>
    <t>TC-RID-011</t>
  </si>
  <si>
    <t>The Approved logistics account operations@bilishatid.example.com is logged in and the Add Rider form is open. An account already exists with mobile number 09171234567.</t>
  </si>
  <si>
    <t>1. Fill in all other fields with valid data.
2. Enter the existing mobile number.
3. Click Save.</t>
  </si>
  <si>
    <t>Saving is blocked. A message says the mobile number is already in use.</t>
  </si>
  <si>
    <t>TC-RID-012</t>
  </si>
  <si>
    <t>License and Vehicle</t>
  </si>
  <si>
    <t>Driver's license number in an invalid format</t>
  </si>
  <si>
    <t>1. Fill in all other fields with valid data.
2. Enter each license number in the test data, one per attempt.
3. Click Save.</t>
  </si>
  <si>
    <t>N01-23-45678 (one digit short)
N01-23-4567890 (one digit extra)
101-23-456789 (no letter)
N0123456789X (letter at the end)</t>
  </si>
  <si>
    <t>Each value is rejected with a message showing the format A00-00-000000.</t>
  </si>
  <si>
    <t>TC-RID-013</t>
  </si>
  <si>
    <t>Driver's license number already registered</t>
  </si>
  <si>
    <t>The Approved logistics account operations@bilishatid.example.com is logged in and the Add Rider form is open. The rider pedrojose.garcia@example.com already exists.</t>
  </si>
  <si>
    <t>1. Fill in all other fields with valid data.
2. Enter the existing license number.
3. Click Save.</t>
  </si>
  <si>
    <t>Driver's License No.: N01-23-456789</t>
  </si>
  <si>
    <t>Saving is blocked. A message says the license number is already registered.</t>
  </si>
  <si>
    <t>TC-RID-014</t>
  </si>
  <si>
    <t>License expiry date at the limit</t>
  </si>
  <si>
    <t>1. Fill in all other fields with valid data.
2. Enter each expiry date in the test data, one per attempt.
3. Click Save.</t>
  </si>
  <si>
    <t>Yesterday's date is rejected with a message that the license is expired. Today's and tomorrow's dates are accepted.</t>
  </si>
  <si>
    <t>TC-RID-015</t>
  </si>
  <si>
    <t>Plate number already registered</t>
  </si>
  <si>
    <t>1. Fill in all other fields with valid data.
2. Enter the existing plate number.
3. Click Save.</t>
  </si>
  <si>
    <t>Plate Number: 123ABC</t>
  </si>
  <si>
    <t>Saving is blocked. A message says the plate number is already registered.</t>
  </si>
  <si>
    <t>TC-RID-016</t>
  </si>
  <si>
    <t>1. Fill in all other fields with valid data.
2. Upload the files in the test data.
3. Click Save.</t>
  </si>
  <si>
    <t>Driver's License: drivers_license.jpg (1.5 MB), then drivers_license.png (2.0 MB), then drivers_license.pdf (700 KB)
Vehicle OR/CR: or_cr.pdf (900 KB)</t>
  </si>
  <si>
    <t>Each file is accepted and its name or preview is shown. The rider is saved.</t>
  </si>
  <si>
    <t>TC-RID-017</t>
  </si>
  <si>
    <t>1. Fill in all other fields with valid data.
2. Try to upload each file in the test data to Driver's License, one per attempt.
3. Click Save.</t>
  </si>
  <si>
    <t>Each file is rejected with a message listing the accepted types (JPG, PNG, PDF). No rider is created.</t>
  </si>
  <si>
    <t>TC-RID-018</t>
  </si>
  <si>
    <t>1. Fill in all other fields with valid data.
2. Upload each file in the test data to Driver's License, one per attempt.
3. Click Save.</t>
  </si>
  <si>
    <t>TC-RID-019</t>
  </si>
  <si>
    <t>Click Save several times quickly</t>
  </si>
  <si>
    <t>1. Fill in all fields with the Account 2 data from the Test Data sheet.
2. Click Save three times in quick succession.</t>
  </si>
  <si>
    <t>Only one rider is created and only one activation email is sent.</t>
  </si>
  <si>
    <t>TC-RID-020</t>
  </si>
  <si>
    <t>Account Activation</t>
  </si>
  <si>
    <t>Rider activates the account with a valid password</t>
  </si>
  <si>
    <t>The rider pedrojose.garcia@example.com has status Pending Activation and the activation email has been read from the mail catcher.</t>
  </si>
  <si>
    <t>1. Open the activation link from the email within 24 hours.
2. Enter and confirm the password.
3. Click Activate.</t>
  </si>
  <si>
    <t>Password: Rider@2026
Confirm Password: Rider@2026</t>
  </si>
  <si>
    <t>The password is saved. The rider's status changes from Pending Activation to Active, and the login page opens with a success message.</t>
  </si>
  <si>
    <t>A5, A13</t>
  </si>
  <si>
    <t>TC-RID-021</t>
  </si>
  <si>
    <t>Set a password that breaks the password rule</t>
  </si>
  <si>
    <t>1. Open the activation link.
2. Enter each password in both fields, one per attempt.
3. Click Activate.</t>
  </si>
  <si>
    <t>7 characters: Ride@26
No uppercase: rider@2026
No lowercase: RIDER@2026
No number: Rider@abcd
No special character: Rider2026</t>
  </si>
  <si>
    <t>Each password is rejected with a message stating the password rule. The rider stays Pending Activation.</t>
  </si>
  <si>
    <t>TC-RID-022</t>
  </si>
  <si>
    <t>1. Open the activation link.
2. Enter the test data in Password and Confirm Password.
3. Click Activate.</t>
  </si>
  <si>
    <t>Password: Rider@2026
Confirm Password: Rider@2027</t>
  </si>
  <si>
    <t>Activation is blocked. A message says the passwords do not match.</t>
  </si>
  <si>
    <t>TC-RID-023</t>
  </si>
  <si>
    <t>Open an expired activation link</t>
  </si>
  <si>
    <t>1. Wait until more than 24 hours have passed since the email was sent (or set the link's expiry time back in the test database).
2. Open the activation link.</t>
  </si>
  <si>
    <t>Activation link sent 24 hours and 1 minute ago</t>
  </si>
  <si>
    <t>A message says the link has expired. No password can be set and the rider stays Pending Activation.</t>
  </si>
  <si>
    <t>TC-RID-024</t>
  </si>
  <si>
    <t>Logistics resends the activation email</t>
  </si>
  <si>
    <t>The rider pedrojose.garcia@example.com has status Pending Activation. The logistics account operations@bilishatid.example.com is logged in.</t>
  </si>
  <si>
    <t>1. Open the rider list.
2. Click Resend Activation for Pedro Jose Garcia.
3. Open the first link.
4. Open the second link.</t>
  </si>
  <si>
    <t>First activation link, then the link from the second email</t>
  </si>
  <si>
    <t>A new activation email is sent. The first link no longer works. The second link opens the set-password page.</t>
  </si>
  <si>
    <t>TC-RID-025</t>
  </si>
  <si>
    <t>Reuse the activation link after activating</t>
  </si>
  <si>
    <t>The rider pedrojose.garcia@example.com is already Active.</t>
  </si>
  <si>
    <t>1. Open the activation link that was already used.</t>
  </si>
  <si>
    <t>Activation link from the email that was used to activate</t>
  </si>
  <si>
    <t>A message says the link is invalid or already used. The password cannot be changed through this link.</t>
  </si>
  <si>
    <t>TC-RID-026</t>
  </si>
  <si>
    <t>Rider logs in before activating</t>
  </si>
  <si>
    <t>The rider pedrojose.garcia@example.com has status Pending Activation.</t>
  </si>
  <si>
    <t>Email: pedrojose.garcia@example.com
Password: Rider@2026</t>
  </si>
  <si>
    <t>Login is denied. The rider is not given access to any page.</t>
  </si>
  <si>
    <t>TC-RID-027</t>
  </si>
  <si>
    <t>Rider logs in after activating</t>
  </si>
  <si>
    <t>The rider pedrojose.garcia@example.com is Active.</t>
  </si>
  <si>
    <t>Login succeeds. The rider dashboard opens and shows Pedro Jose Garcia and Bilis Hatid Express Inc.</t>
  </si>
  <si>
    <t>TC-RID-028</t>
  </si>
  <si>
    <t>Rider is visible only to the company that created it</t>
  </si>
  <si>
    <t>Bilis Hatid Express Inc. created the rider Pedro Jose Garcia. Agila Cargo Movers Corp. is also an Approved logistics account.</t>
  </si>
  <si>
    <t>1. Log in as the first company and open the rider list.
2. Log out.
3. Log in as the second company and open the rider list.</t>
  </si>
  <si>
    <t>First: operations@bilishatid.example.com / Hatid@2026
Second: admin@agilacargo.example.com / Agila#Cargo26</t>
  </si>
  <si>
    <t>Pedro Jose Garcia appears in the rider list of Bilis Hatid Express Inc. and does not appear in the rider list of Agila Cargo Movers Corp.</t>
  </si>
  <si>
    <t>TC-RID-029</t>
  </si>
  <si>
    <t>No public rider registration</t>
  </si>
  <si>
    <t>No user is logged in.</t>
  </si>
  <si>
    <t>1. Open the public registration page and check the role choices.
2. Paste the address of the Add Rider form into the browser.</t>
  </si>
  <si>
    <t>Add Rider form address (copy it while logged in as logistics)</t>
  </si>
  <si>
    <t>Rider is not offered as a self-registration role. The Add Rider address redirects to the login page.</t>
  </si>
  <si>
    <t>TC-RID-030</t>
  </si>
  <si>
    <t>Buyer or seller opens the Add Rider form</t>
  </si>
  <si>
    <t>1. Paste the address of the Add Rider form into the browser.
2. Repeat while logged in as the seller mariaclara.santos@example.com.</t>
  </si>
  <si>
    <t>Add Rider form address</t>
  </si>
  <si>
    <t>Access is denied each time (error 403 or redirect). No rider can be created.</t>
  </si>
  <si>
    <t>TC-RID-031</t>
  </si>
  <si>
    <t>Pending logistics account tries to add a rider</t>
  </si>
  <si>
    <t>A logistics account with status Pending Approval is logged in (register admin@agilacargo.example.com and verify it, but do not approve it yet).</t>
  </si>
  <si>
    <t>1. Look for the Add Rider option.
2. Paste the address of the Add Rider form into the browser.</t>
  </si>
  <si>
    <t>The Add Rider option is not available. The address is denied or shows the under-review notice. No rider can be created.</t>
  </si>
  <si>
    <t>A12, A13</t>
  </si>
  <si>
    <t>TC-RID-032</t>
  </si>
  <si>
    <t>The Active rider account pedrojose.garcia@example.com is logged in.</t>
  </si>
  <si>
    <t>Logistics dashboard
Seller dashboard
Admin dashboard</t>
  </si>
  <si>
    <t>Logged in as the seller, the admin, logistics and rider dashboards all showed a 403 Unauthorized message.</t>
  </si>
  <si>
    <t>Couldn't run this. It needs a rejected application from the previous case.</t>
  </si>
  <si>
    <t>Couldn't run this. No seller application can be submitted because of the system error.</t>
  </si>
  <si>
    <t>Couldn't run this. No seller application can be submitted because of the system error, so there's nothing for the admin to review.</t>
  </si>
  <si>
    <t>It didn't let me in. I was sent to a page asking me to check my inbox, and going to the seller dashboard sent me back there. It has a verification link, even though sign-up uses a 6-digit code.</t>
  </si>
  <si>
    <t>I waited 5 minutes before entering the code, and it was rejected. A Resend button was available. The message just says the code is invalid or expired, not specifically expired.</t>
  </si>
  <si>
    <t>All of them were rejected. 5 digits got a "must be 6 digits" message, the field won't take a 7 digit, letters are removed as you type, and leaving it blank asked me to enter the code. The account stayed unverified.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</si>
</sst>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charset val="1"/>
    </font>
    <font>
      <b/>
      <sz val="10"/>
      <color rgb="FFFFFFFF"/>
      <name val="Arial"/>
      <family val="2"/>
    </font>
    <font>
      <b/>
      <sz val="10"/>
      <name val="Arial"/>
      <family val="2"/>
    </font>
    <font>
      <sz val="10"/>
      <name val="Arial"/>
      <family val="2"/>
    </font>
    <font>
      <b/>
      <sz val="14"/>
      <color rgb="FF1F3864"/>
      <name val="Arial"/>
      <family val="2"/>
    </font>
    <font>
      <b/>
      <sz val="11"/>
      <color rgb="FF1F3864"/>
      <name val="Arial"/>
      <family val="2"/>
    </font>
    <font>
      <i/>
      <sz val="10"/>
      <name val="Arial"/>
      <family val="2"/>
    </font>
  </fonts>
  <fills count="6">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FFFFFF"/>
      </patternFill>
    </fill>
    <fill>
      <patternFill patternType="solid">
        <fgColor theme="9" tint="0.59999389629810485"/>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xf numFmtId="0" fontId="4" fillId="0" borderId="0" xfId="0" applyFont="1"/>
    <xf numFmtId="0" fontId="2" fillId="0" borderId="1" xfId="0" applyFont="1" applyBorder="1" applyAlignment="1">
      <alignment vertical="top" wrapText="1"/>
    </xf>
    <xf numFmtId="0" fontId="5" fillId="0" borderId="0" xfId="0" applyFont="1"/>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3" fillId="3" borderId="1" xfId="0" applyFont="1" applyFill="1" applyBorder="1"/>
    <xf numFmtId="0" fontId="2" fillId="0" borderId="1" xfId="0" applyFont="1" applyBorder="1" applyAlignment="1">
      <alignment horizontal="left" vertical="top"/>
    </xf>
    <xf numFmtId="0" fontId="3" fillId="0" borderId="1" xfId="0" applyFont="1" applyBorder="1" applyAlignment="1">
      <alignment horizontal="center" vertical="top"/>
    </xf>
    <xf numFmtId="164" fontId="3" fillId="0" borderId="1" xfId="0" applyNumberFormat="1" applyFont="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center" vertical="top"/>
    </xf>
    <xf numFmtId="164" fontId="2" fillId="4" borderId="1" xfId="0" applyNumberFormat="1" applyFont="1" applyFill="1" applyBorder="1" applyAlignment="1">
      <alignment horizontal="center" vertical="top"/>
    </xf>
    <xf numFmtId="0" fontId="6" fillId="0" borderId="1" xfId="0" applyFont="1" applyBorder="1" applyAlignment="1">
      <alignment vertical="top" wrapText="1"/>
    </xf>
    <xf numFmtId="0" fontId="6" fillId="3" borderId="1" xfId="0" applyFont="1" applyFill="1" applyBorder="1" applyAlignment="1">
      <alignment vertical="top" wrapText="1"/>
    </xf>
    <xf numFmtId="0" fontId="3" fillId="5" borderId="1" xfId="0" applyFont="1" applyFill="1" applyBorder="1" applyAlignment="1">
      <alignment vertical="top" wrapText="1"/>
    </xf>
    <xf numFmtId="0" fontId="3" fillId="0" borderId="1" xfId="0" applyFont="1" applyBorder="1" applyAlignment="1">
      <alignment vertical="top" wrapText="1"/>
    </xf>
    <xf numFmtId="0" fontId="0" fillId="0" borderId="2" xfId="0" applyBorder="1"/>
    <xf numFmtId="0" fontId="0" fillId="0" borderId="3" xfId="0" applyBorder="1"/>
    <xf numFmtId="0" fontId="3" fillId="0" borderId="0" xfId="0" applyFont="1" applyAlignment="1">
      <alignment vertical="top" wrapText="1"/>
    </xf>
    <xf numFmtId="0" fontId="0" fillId="0" borderId="0" xfId="0"/>
    <xf numFmtId="0" fontId="2" fillId="4" borderId="1" xfId="0" applyFont="1" applyFill="1" applyBorder="1" applyAlignment="1">
      <alignment vertical="top" wrapText="1"/>
    </xf>
  </cellXfs>
  <cellStyles count="1">
    <cellStyle name="Normal" xfId="0" builtinId="0"/>
  </cellStyles>
  <dxfs count="29">
    <dxf>
      <font>
        <b/>
        <sz val="10"/>
        <color rgb="FF8A4B00"/>
        <name val="Arial"/>
        <charset val="1"/>
      </font>
      <fill>
        <patternFill patternType="solid">
          <bgColor rgb="FFFFE0B2"/>
        </patternFill>
      </fill>
    </dxf>
    <dxf>
      <font>
        <b/>
        <sz val="10"/>
        <color rgb="FF9C0006"/>
        <name val="Arial"/>
        <charset val="1"/>
      </font>
      <fill>
        <patternFill patternType="solid">
          <bgColor rgb="FFFFC7CE"/>
        </patternFill>
      </fill>
    </dxf>
    <dxf>
      <font>
        <b/>
        <sz val="10"/>
        <color rgb="FF006100"/>
        <name val="Arial"/>
        <charset val="1"/>
      </font>
      <fill>
        <patternFill patternType="solid">
          <bgColor rgb="FFC6EFCE"/>
        </patternFill>
      </fill>
    </dxf>
    <dxf>
      <font>
        <b/>
        <sz val="10"/>
        <color rgb="FF8A4B00"/>
        <name val="Arial"/>
        <charset val="1"/>
      </font>
      <fill>
        <patternFill patternType="solid">
          <bgColor rgb="FFFFE0B2"/>
        </patternFill>
      </fill>
    </dxf>
    <dxf>
      <font>
        <b/>
        <sz val="10"/>
        <color rgb="FF9C0006"/>
        <name val="Arial"/>
        <charset val="1"/>
      </font>
      <fill>
        <patternFill patternType="solid">
          <bgColor rgb="FFFFC7CE"/>
        </patternFill>
      </fill>
    </dxf>
    <dxf>
      <font>
        <b/>
        <sz val="10"/>
        <color rgb="FF006100"/>
        <name val="Arial"/>
        <charset val="1"/>
      </font>
      <fill>
        <patternFill patternType="solid">
          <bgColor rgb="FFC6EFCE"/>
        </patternFill>
      </fill>
    </dxf>
    <dxf>
      <font>
        <b/>
        <sz val="10"/>
        <color rgb="FF8A4B00"/>
        <name val="Arial"/>
        <charset val="1"/>
      </font>
      <fill>
        <patternFill patternType="solid">
          <bgColor rgb="FFFFE0B2"/>
        </patternFill>
      </fill>
    </dxf>
    <dxf>
      <font>
        <b/>
        <sz val="10"/>
        <color rgb="FF9C0006"/>
        <name val="Arial"/>
        <charset val="1"/>
      </font>
      <fill>
        <patternFill patternType="solid">
          <bgColor rgb="FFFFC7CE"/>
        </patternFill>
      </fill>
    </dxf>
    <dxf>
      <font>
        <b/>
        <sz val="10"/>
        <color rgb="FF006100"/>
        <name val="Arial"/>
        <charset val="1"/>
      </font>
      <fill>
        <patternFill patternType="solid">
          <bgColor rgb="FFC6EFCE"/>
        </patternFill>
      </fill>
    </dxf>
    <dxf>
      <font>
        <b/>
        <sz val="10"/>
        <color rgb="FF8A4B00"/>
        <name val="Arial"/>
        <charset val="1"/>
      </font>
      <fill>
        <patternFill patternType="solid">
          <bgColor rgb="FFFFE0B2"/>
        </patternFill>
      </fill>
    </dxf>
    <dxf>
      <font>
        <b/>
        <sz val="10"/>
        <color rgb="FF9C0006"/>
        <name val="Arial"/>
        <charset val="1"/>
      </font>
      <fill>
        <patternFill patternType="solid">
          <bgColor rgb="FFFFC7CE"/>
        </patternFill>
      </fill>
    </dxf>
    <dxf>
      <font>
        <b/>
        <sz val="10"/>
        <color rgb="FF006100"/>
        <name val="Arial"/>
        <charset val="1"/>
      </font>
      <fill>
        <patternFill patternType="solid">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00000000-0011-0000-FFFF-FFFF01000000}">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808000"/>
      <rgbColor rgb="00800080"/>
      <rgbColor rgb="00008080"/>
      <rgbColor rgb="00BFBFBF"/>
      <rgbColor rgb="00808080"/>
      <rgbColor rgb="009999FF"/>
      <rgbColor rgb="00993366"/>
      <rgbColor rgb="00FFF2CC"/>
      <rgbColor rgb="00F2F2F2"/>
      <rgbColor rgb="00660066"/>
      <rgbColor rgb="00FF8080"/>
      <rgbColor rgb="000066CC"/>
      <rgbColor rgb="00FFC7CE"/>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E0B2"/>
      <rgbColor rgb="003366FF"/>
      <rgbColor rgb="0033CCCC"/>
      <rgbColor rgb="0099CC00"/>
      <rgbColor rgb="00FFCC00"/>
      <rgbColor rgb="00FF9900"/>
      <rgbColor rgb="00FF6600"/>
      <rgbColor rgb="00666699"/>
      <rgbColor rgb="00969696"/>
      <rgbColor rgb="001F3864"/>
      <rgbColor rgb="00339966"/>
      <rgbColor rgb="00003300"/>
      <rgbColor rgb="00333300"/>
      <rgbColor rgb="008A4B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0"/>
  <sheetViews>
    <sheetView showGridLines="0" topLeftCell="A2" zoomScale="129" zoomScaleNormal="129" workbookViewId="0">
      <selection activeCell="E4" sqref="E4"/>
    </sheetView>
  </sheetViews>
  <sheetFormatPr defaultColWidth="8.6640625" defaultRowHeight="14.4" x14ac:dyDescent="0.3"/>
  <cols>
    <col min="1" max="1" width="26" customWidth="1"/>
    <col min="2" max="4" width="34" customWidth="1"/>
    <col min="5" max="6" width="14" customWidth="1"/>
    <col min="7" max="7" width="30" customWidth="1"/>
  </cols>
  <sheetData>
    <row r="1" spans="1:7" ht="18" customHeight="1" x14ac:dyDescent="0.3">
      <c r="A1" s="7"/>
    </row>
    <row r="2" spans="1:7" x14ac:dyDescent="0.3">
      <c r="A2" s="12" t="s">
        <v>321</v>
      </c>
    </row>
    <row r="4" spans="1:7" x14ac:dyDescent="0.3">
      <c r="A4" s="9" t="s">
        <v>322</v>
      </c>
    </row>
    <row r="5" spans="1:7" x14ac:dyDescent="0.3">
      <c r="A5" s="11" t="s">
        <v>323</v>
      </c>
      <c r="B5" s="13"/>
    </row>
    <row r="6" spans="1:7" x14ac:dyDescent="0.3">
      <c r="A6" s="11" t="s">
        <v>324</v>
      </c>
      <c r="B6" s="13"/>
    </row>
    <row r="7" spans="1:7" ht="25.95" customHeight="1" x14ac:dyDescent="0.3">
      <c r="A7" s="11" t="s">
        <v>325</v>
      </c>
      <c r="B7" s="13"/>
    </row>
    <row r="8" spans="1:7" x14ac:dyDescent="0.3">
      <c r="A8" s="11" t="s">
        <v>326</v>
      </c>
      <c r="B8" s="13"/>
    </row>
    <row r="9" spans="1:7" x14ac:dyDescent="0.3">
      <c r="A9" s="11" t="s">
        <v>327</v>
      </c>
      <c r="B9" s="13"/>
    </row>
    <row r="11" spans="1:7" x14ac:dyDescent="0.3">
      <c r="A11" s="9" t="s">
        <v>328</v>
      </c>
    </row>
    <row r="12" spans="1:7" x14ac:dyDescent="0.3">
      <c r="A12" s="1" t="s">
        <v>329</v>
      </c>
      <c r="B12" s="1" t="s">
        <v>330</v>
      </c>
      <c r="C12" s="1" t="s">
        <v>331</v>
      </c>
      <c r="D12" s="1" t="s">
        <v>332</v>
      </c>
      <c r="E12" s="1" t="s">
        <v>333</v>
      </c>
      <c r="F12" s="1" t="s">
        <v>113</v>
      </c>
      <c r="G12" s="1" t="s">
        <v>334</v>
      </c>
    </row>
    <row r="13" spans="1:7" x14ac:dyDescent="0.3">
      <c r="A13" s="14" t="s">
        <v>335</v>
      </c>
      <c r="B13" s="15">
        <f>COUNTA(Buyer!$A$2:$A$200)</f>
        <v>30</v>
      </c>
      <c r="C13" s="15">
        <f>COUNTIF(Buyer!$L$2:$L$200,"Pass")</f>
        <v>0</v>
      </c>
      <c r="D13" s="15">
        <f>COUNTIF(Buyer!$L$2:$L$200,"Fail")</f>
        <v>0</v>
      </c>
      <c r="E13" s="15">
        <f>COUNTIF(Buyer!$L$2:$L$200,"Blocked")</f>
        <v>0</v>
      </c>
      <c r="F13" s="15">
        <f>COUNTIF(Buyer!$L$2:$L$200,"Not Run")</f>
        <v>0</v>
      </c>
      <c r="G13" s="16">
        <f>IF(B13=0,0,C13/B13)</f>
        <v>0</v>
      </c>
    </row>
    <row r="14" spans="1:7" x14ac:dyDescent="0.3">
      <c r="A14" s="14" t="s">
        <v>336</v>
      </c>
      <c r="B14" s="15">
        <f>COUNTA(Seller!$A$2:$A$200)</f>
        <v>44</v>
      </c>
      <c r="C14" s="15">
        <f>COUNTIF(Seller!$L$2:$L$200,"Pass")</f>
        <v>0</v>
      </c>
      <c r="D14" s="15">
        <f>COUNTIF(Seller!$L$2:$L$200,"Fail")</f>
        <v>0</v>
      </c>
      <c r="E14" s="15">
        <f>COUNTIF(Seller!$L$2:$L$200,"Blocked")</f>
        <v>0</v>
      </c>
      <c r="F14" s="15">
        <f>COUNTIF(Seller!$L$2:$L$200,"Not Run")</f>
        <v>7</v>
      </c>
      <c r="G14" s="16">
        <f>IF(B14=0,0,C14/B14)</f>
        <v>0</v>
      </c>
    </row>
    <row r="15" spans="1:7" x14ac:dyDescent="0.3">
      <c r="A15" s="14" t="s">
        <v>337</v>
      </c>
      <c r="B15" s="15">
        <f>COUNTA(Logistics!$A$2:$A$200)</f>
        <v>44</v>
      </c>
      <c r="C15" s="15">
        <f>COUNTIF(Logistics!$L$2:$L$200,"Pass")</f>
        <v>0</v>
      </c>
      <c r="D15" s="15">
        <f>COUNTIF(Logistics!$L$2:$L$200,"Fail")</f>
        <v>0</v>
      </c>
      <c r="E15" s="15">
        <f>COUNTIF(Logistics!$L$2:$L$200,"Blocked")</f>
        <v>0</v>
      </c>
      <c r="F15" s="15">
        <f>COUNTIF(Logistics!$L$2:$L$200,"Not Run")</f>
        <v>2</v>
      </c>
      <c r="G15" s="16">
        <f>IF(B15=0,0,C15/B15)</f>
        <v>0</v>
      </c>
    </row>
    <row r="16" spans="1:7" x14ac:dyDescent="0.3">
      <c r="A16" s="14" t="s">
        <v>338</v>
      </c>
      <c r="B16" s="15">
        <f>COUNTA(Rider!$A$2:$A$200)</f>
        <v>32</v>
      </c>
      <c r="C16" s="15">
        <f>COUNTIF(Rider!$L$2:$L$200,"Pass")</f>
        <v>0</v>
      </c>
      <c r="D16" s="15">
        <f>COUNTIF(Rider!$L$2:$L$200,"Fail")</f>
        <v>0</v>
      </c>
      <c r="E16" s="15">
        <f>COUNTIF(Rider!$L$2:$L$200,"Blocked")</f>
        <v>0</v>
      </c>
      <c r="F16" s="15">
        <f>COUNTIF(Rider!$L$2:$L$200,"Not Run")</f>
        <v>32</v>
      </c>
      <c r="G16" s="16">
        <f>IF(B16=0,0,C16/B16)</f>
        <v>0</v>
      </c>
    </row>
    <row r="17" spans="1:7" x14ac:dyDescent="0.3">
      <c r="A17" s="17" t="s">
        <v>339</v>
      </c>
      <c r="B17" s="18">
        <f>SUM(B13:B16)</f>
        <v>150</v>
      </c>
      <c r="C17" s="18">
        <f>SUM(C13:C16)</f>
        <v>0</v>
      </c>
      <c r="D17" s="18">
        <f>SUM(D13:D16)</f>
        <v>0</v>
      </c>
      <c r="E17" s="18">
        <f>SUM(E13:E16)</f>
        <v>0</v>
      </c>
      <c r="F17" s="18">
        <f>SUM(F13:F16)</f>
        <v>41</v>
      </c>
      <c r="G17" s="19">
        <f>IF(B17=0,0,C17/B17)</f>
        <v>0</v>
      </c>
    </row>
    <row r="19" spans="1:7" x14ac:dyDescent="0.3">
      <c r="A19" s="9" t="s">
        <v>340</v>
      </c>
    </row>
    <row r="20" spans="1:7" ht="15.75" customHeight="1" x14ac:dyDescent="0.3">
      <c r="A20" s="26" t="s">
        <v>341</v>
      </c>
      <c r="B20" s="27"/>
      <c r="C20" s="27"/>
      <c r="D20" s="27"/>
      <c r="E20" s="27"/>
      <c r="F20" s="27"/>
      <c r="G20" s="27"/>
    </row>
    <row r="21" spans="1:7" ht="30" customHeight="1" x14ac:dyDescent="0.3">
      <c r="A21" s="26" t="s">
        <v>342</v>
      </c>
      <c r="B21" s="27"/>
      <c r="C21" s="27"/>
      <c r="D21" s="27"/>
      <c r="E21" s="27"/>
      <c r="F21" s="27"/>
      <c r="G21" s="27"/>
    </row>
    <row r="22" spans="1:7" ht="30" customHeight="1" x14ac:dyDescent="0.3">
      <c r="A22" s="26" t="s">
        <v>343</v>
      </c>
      <c r="B22" s="27"/>
      <c r="C22" s="27"/>
      <c r="D22" s="27"/>
      <c r="E22" s="27"/>
      <c r="F22" s="27"/>
      <c r="G22" s="27"/>
    </row>
    <row r="23" spans="1:7" ht="30" customHeight="1" x14ac:dyDescent="0.3">
      <c r="A23" s="26" t="s">
        <v>344</v>
      </c>
      <c r="B23" s="27"/>
      <c r="C23" s="27"/>
      <c r="D23" s="27"/>
      <c r="E23" s="27"/>
      <c r="F23" s="27"/>
      <c r="G23" s="27"/>
    </row>
    <row r="24" spans="1:7" ht="15.75" customHeight="1" x14ac:dyDescent="0.3">
      <c r="A24" s="26" t="s">
        <v>345</v>
      </c>
      <c r="B24" s="27"/>
      <c r="C24" s="27"/>
      <c r="D24" s="27"/>
      <c r="E24" s="27"/>
      <c r="F24" s="27"/>
      <c r="G24" s="27"/>
    </row>
    <row r="25" spans="1:7" ht="15.75" customHeight="1" x14ac:dyDescent="0.3">
      <c r="A25" s="26" t="s">
        <v>346</v>
      </c>
      <c r="B25" s="27"/>
      <c r="C25" s="27"/>
      <c r="D25" s="27"/>
      <c r="E25" s="27"/>
      <c r="F25" s="27"/>
      <c r="G25" s="27"/>
    </row>
    <row r="26" spans="1:7" ht="30" customHeight="1" x14ac:dyDescent="0.3">
      <c r="A26" s="26" t="s">
        <v>347</v>
      </c>
      <c r="B26" s="27"/>
      <c r="C26" s="27"/>
      <c r="D26" s="27"/>
      <c r="E26" s="27"/>
      <c r="F26" s="27"/>
      <c r="G26" s="27"/>
    </row>
    <row r="27" spans="1:7" ht="15.75" customHeight="1" x14ac:dyDescent="0.3">
      <c r="A27" s="26" t="s">
        <v>348</v>
      </c>
      <c r="B27" s="27"/>
      <c r="C27" s="27"/>
      <c r="D27" s="27"/>
      <c r="E27" s="27"/>
      <c r="F27" s="27"/>
      <c r="G27" s="27"/>
    </row>
    <row r="29" spans="1:7" x14ac:dyDescent="0.3">
      <c r="A29" s="9" t="s">
        <v>349</v>
      </c>
    </row>
    <row r="30" spans="1:7" x14ac:dyDescent="0.3">
      <c r="A30" s="1" t="s">
        <v>0</v>
      </c>
      <c r="B30" s="1" t="s">
        <v>2</v>
      </c>
      <c r="C30" s="1" t="s">
        <v>8</v>
      </c>
      <c r="D30" s="1" t="s">
        <v>10</v>
      </c>
      <c r="E30" s="1" t="s">
        <v>11</v>
      </c>
      <c r="F30" s="1" t="s">
        <v>12</v>
      </c>
    </row>
    <row r="31" spans="1:7" ht="54" customHeight="1" x14ac:dyDescent="0.3">
      <c r="A31" s="20" t="s">
        <v>350</v>
      </c>
      <c r="B31" s="20" t="s">
        <v>74</v>
      </c>
      <c r="C31" s="20" t="s">
        <v>78</v>
      </c>
      <c r="D31" s="21" t="s">
        <v>351</v>
      </c>
      <c r="E31" s="21" t="s">
        <v>332</v>
      </c>
      <c r="F31" s="21" t="s">
        <v>352</v>
      </c>
    </row>
    <row r="34" spans="1:7" x14ac:dyDescent="0.3">
      <c r="A34" s="9" t="s">
        <v>353</v>
      </c>
    </row>
    <row r="35" spans="1:7" ht="15" customHeight="1" x14ac:dyDescent="0.3">
      <c r="A35" s="11" t="s">
        <v>29</v>
      </c>
      <c r="B35" s="23" t="s">
        <v>354</v>
      </c>
      <c r="C35" s="24"/>
      <c r="D35" s="24"/>
      <c r="E35" s="24"/>
      <c r="F35" s="24"/>
      <c r="G35" s="25"/>
    </row>
    <row r="36" spans="1:7" ht="15" customHeight="1" x14ac:dyDescent="0.3">
      <c r="A36" s="11" t="s">
        <v>60</v>
      </c>
      <c r="B36" s="23" t="s">
        <v>355</v>
      </c>
      <c r="C36" s="24"/>
      <c r="D36" s="24"/>
      <c r="E36" s="24"/>
      <c r="F36" s="24"/>
      <c r="G36" s="25"/>
    </row>
    <row r="37" spans="1:7" ht="15" customHeight="1" x14ac:dyDescent="0.3">
      <c r="A37" s="11" t="s">
        <v>130</v>
      </c>
      <c r="B37" s="23" t="s">
        <v>356</v>
      </c>
      <c r="C37" s="24"/>
      <c r="D37" s="24"/>
      <c r="E37" s="24"/>
      <c r="F37" s="24"/>
      <c r="G37" s="25"/>
    </row>
    <row r="38" spans="1:7" ht="15" customHeight="1" x14ac:dyDescent="0.3">
      <c r="A38" s="11" t="s">
        <v>238</v>
      </c>
      <c r="B38" s="23" t="s">
        <v>357</v>
      </c>
      <c r="C38" s="24"/>
      <c r="D38" s="24"/>
      <c r="E38" s="24"/>
      <c r="F38" s="24"/>
      <c r="G38" s="25"/>
    </row>
    <row r="39" spans="1:7" ht="15" customHeight="1" x14ac:dyDescent="0.3">
      <c r="A39" s="11" t="s">
        <v>16</v>
      </c>
      <c r="B39" s="23" t="s">
        <v>358</v>
      </c>
      <c r="C39" s="24"/>
      <c r="D39" s="24"/>
      <c r="E39" s="24"/>
      <c r="F39" s="24"/>
      <c r="G39" s="25"/>
    </row>
    <row r="40" spans="1:7" ht="15" customHeight="1" x14ac:dyDescent="0.3">
      <c r="A40" s="11" t="s">
        <v>82</v>
      </c>
      <c r="B40" s="23" t="s">
        <v>359</v>
      </c>
      <c r="C40" s="24"/>
      <c r="D40" s="24"/>
      <c r="E40" s="24"/>
      <c r="F40" s="24"/>
      <c r="G40" s="25"/>
    </row>
  </sheetData>
  <mergeCells count="14">
    <mergeCell ref="A20:G20"/>
    <mergeCell ref="A24:G24"/>
    <mergeCell ref="A26:G26"/>
    <mergeCell ref="B40:G40"/>
    <mergeCell ref="A25:G25"/>
    <mergeCell ref="B39:G39"/>
    <mergeCell ref="A23:G23"/>
    <mergeCell ref="B38:G38"/>
    <mergeCell ref="A27:G27"/>
    <mergeCell ref="B37:G37"/>
    <mergeCell ref="B36:G36"/>
    <mergeCell ref="A21:G21"/>
    <mergeCell ref="A22:G22"/>
    <mergeCell ref="B35:G35"/>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82"/>
  <sheetViews>
    <sheetView showGridLines="0" workbookViewId="0"/>
  </sheetViews>
  <sheetFormatPr defaultColWidth="8.6640625" defaultRowHeight="14.4" x14ac:dyDescent="0.3"/>
  <cols>
    <col min="1" max="1" width="11" customWidth="1"/>
    <col min="2" max="2" width="36" customWidth="1"/>
    <col min="3" max="3" width="22" customWidth="1"/>
    <col min="4" max="4" width="14" customWidth="1"/>
    <col min="5" max="5" width="42" customWidth="1"/>
    <col min="6" max="7" width="38" customWidth="1"/>
  </cols>
  <sheetData>
    <row r="1" spans="1:7" ht="18" customHeight="1" x14ac:dyDescent="0.3">
      <c r="A1" s="7" t="s">
        <v>360</v>
      </c>
    </row>
    <row r="2" spans="1:7" ht="30" customHeight="1" x14ac:dyDescent="0.3">
      <c r="A2" s="26" t="s">
        <v>361</v>
      </c>
      <c r="B2" s="27"/>
      <c r="C2" s="27"/>
      <c r="D2" s="27"/>
      <c r="E2" s="27"/>
      <c r="F2" s="27"/>
      <c r="G2" s="27"/>
    </row>
    <row r="4" spans="1:7" x14ac:dyDescent="0.3">
      <c r="A4" s="9" t="s">
        <v>362</v>
      </c>
    </row>
    <row r="5" spans="1:7" x14ac:dyDescent="0.3">
      <c r="A5" s="1" t="s">
        <v>363</v>
      </c>
      <c r="B5" s="1" t="s">
        <v>364</v>
      </c>
      <c r="C5" s="1" t="s">
        <v>365</v>
      </c>
      <c r="D5" s="1" t="s">
        <v>366</v>
      </c>
      <c r="E5" s="1" t="s">
        <v>367</v>
      </c>
      <c r="F5" s="1" t="s">
        <v>368</v>
      </c>
      <c r="G5" s="1" t="s">
        <v>369</v>
      </c>
    </row>
    <row r="6" spans="1:7" ht="25.05" customHeight="1" x14ac:dyDescent="0.3">
      <c r="A6" s="10" t="s">
        <v>335</v>
      </c>
      <c r="B6" s="11" t="s">
        <v>370</v>
      </c>
      <c r="C6" s="3" t="s">
        <v>371</v>
      </c>
      <c r="D6" s="3" t="s">
        <v>372</v>
      </c>
      <c r="E6" s="3" t="s">
        <v>373</v>
      </c>
      <c r="F6" s="3" t="s">
        <v>374</v>
      </c>
      <c r="G6" s="3" t="s">
        <v>375</v>
      </c>
    </row>
    <row r="7" spans="1:7" ht="25.05" customHeight="1" x14ac:dyDescent="0.3">
      <c r="A7" s="10" t="s">
        <v>335</v>
      </c>
      <c r="B7" s="11" t="s">
        <v>376</v>
      </c>
      <c r="C7" s="3" t="s">
        <v>371</v>
      </c>
      <c r="D7" s="3" t="s">
        <v>372</v>
      </c>
      <c r="E7" s="3" t="s">
        <v>373</v>
      </c>
      <c r="F7" s="3" t="s">
        <v>377</v>
      </c>
      <c r="G7" s="3" t="s">
        <v>378</v>
      </c>
    </row>
    <row r="8" spans="1:7" x14ac:dyDescent="0.3">
      <c r="A8" s="10" t="s">
        <v>335</v>
      </c>
      <c r="B8" s="11" t="s">
        <v>66</v>
      </c>
      <c r="C8" s="3" t="s">
        <v>371</v>
      </c>
      <c r="D8" s="3" t="s">
        <v>66</v>
      </c>
      <c r="E8" s="3" t="s">
        <v>379</v>
      </c>
      <c r="F8" s="3" t="s">
        <v>380</v>
      </c>
      <c r="G8" s="3" t="s">
        <v>381</v>
      </c>
    </row>
    <row r="9" spans="1:7" x14ac:dyDescent="0.3">
      <c r="A9" s="10" t="s">
        <v>335</v>
      </c>
      <c r="B9" s="11" t="s">
        <v>94</v>
      </c>
      <c r="C9" s="3" t="s">
        <v>371</v>
      </c>
      <c r="D9" s="3" t="s">
        <v>372</v>
      </c>
      <c r="E9" s="3" t="s">
        <v>382</v>
      </c>
      <c r="F9" s="3" t="s">
        <v>383</v>
      </c>
      <c r="G9" s="3" t="s">
        <v>384</v>
      </c>
    </row>
    <row r="10" spans="1:7" x14ac:dyDescent="0.3">
      <c r="A10" s="10" t="s">
        <v>335</v>
      </c>
      <c r="B10" s="11" t="s">
        <v>385</v>
      </c>
      <c r="C10" s="3" t="s">
        <v>371</v>
      </c>
      <c r="D10" s="3" t="s">
        <v>386</v>
      </c>
      <c r="E10" s="3" t="s">
        <v>387</v>
      </c>
      <c r="F10" s="3" t="s">
        <v>388</v>
      </c>
      <c r="G10" s="3" t="s">
        <v>389</v>
      </c>
    </row>
    <row r="11" spans="1:7" ht="25.05" customHeight="1" x14ac:dyDescent="0.3">
      <c r="A11" s="10" t="s">
        <v>335</v>
      </c>
      <c r="B11" s="11" t="s">
        <v>121</v>
      </c>
      <c r="C11" s="3" t="s">
        <v>371</v>
      </c>
      <c r="D11" s="3" t="s">
        <v>121</v>
      </c>
      <c r="E11" s="3" t="s">
        <v>390</v>
      </c>
      <c r="F11" s="3" t="s">
        <v>391</v>
      </c>
      <c r="G11" s="3" t="s">
        <v>392</v>
      </c>
    </row>
    <row r="12" spans="1:7" x14ac:dyDescent="0.3">
      <c r="A12" s="10" t="s">
        <v>335</v>
      </c>
      <c r="B12" s="11" t="s">
        <v>393</v>
      </c>
      <c r="C12" s="3" t="s">
        <v>371</v>
      </c>
      <c r="D12" s="3" t="s">
        <v>121</v>
      </c>
      <c r="E12" s="3" t="s">
        <v>394</v>
      </c>
      <c r="F12" s="3" t="s">
        <v>391</v>
      </c>
      <c r="G12" s="3" t="s">
        <v>392</v>
      </c>
    </row>
    <row r="13" spans="1:7" x14ac:dyDescent="0.3">
      <c r="A13" s="10" t="s">
        <v>335</v>
      </c>
      <c r="B13" s="11" t="s">
        <v>147</v>
      </c>
      <c r="C13" s="3" t="s">
        <v>371</v>
      </c>
      <c r="D13" s="3" t="s">
        <v>395</v>
      </c>
      <c r="E13" s="3" t="s">
        <v>396</v>
      </c>
      <c r="F13" s="3" t="s">
        <v>397</v>
      </c>
      <c r="G13" s="3" t="s">
        <v>397</v>
      </c>
    </row>
    <row r="15" spans="1:7" x14ac:dyDescent="0.3">
      <c r="A15" s="9" t="s">
        <v>398</v>
      </c>
    </row>
    <row r="16" spans="1:7" x14ac:dyDescent="0.3">
      <c r="A16" s="1" t="s">
        <v>363</v>
      </c>
      <c r="B16" s="1" t="s">
        <v>364</v>
      </c>
      <c r="C16" s="1" t="s">
        <v>365</v>
      </c>
      <c r="D16" s="1" t="s">
        <v>366</v>
      </c>
      <c r="E16" s="1" t="s">
        <v>367</v>
      </c>
      <c r="F16" s="1" t="s">
        <v>368</v>
      </c>
      <c r="G16" s="1" t="s">
        <v>369</v>
      </c>
    </row>
    <row r="17" spans="1:7" ht="25.05" customHeight="1" x14ac:dyDescent="0.3">
      <c r="A17" s="10" t="s">
        <v>336</v>
      </c>
      <c r="B17" s="11" t="s">
        <v>370</v>
      </c>
      <c r="C17" s="3" t="s">
        <v>371</v>
      </c>
      <c r="D17" s="3" t="s">
        <v>372</v>
      </c>
      <c r="E17" s="3" t="s">
        <v>373</v>
      </c>
      <c r="F17" s="3" t="s">
        <v>399</v>
      </c>
      <c r="G17" s="3" t="s">
        <v>400</v>
      </c>
    </row>
    <row r="18" spans="1:7" ht="25.05" customHeight="1" x14ac:dyDescent="0.3">
      <c r="A18" s="10" t="s">
        <v>336</v>
      </c>
      <c r="B18" s="11" t="s">
        <v>376</v>
      </c>
      <c r="C18" s="3" t="s">
        <v>371</v>
      </c>
      <c r="D18" s="3" t="s">
        <v>372</v>
      </c>
      <c r="E18" s="3" t="s">
        <v>373</v>
      </c>
      <c r="F18" s="3" t="s">
        <v>401</v>
      </c>
      <c r="G18" s="3" t="s">
        <v>402</v>
      </c>
    </row>
    <row r="19" spans="1:7" x14ac:dyDescent="0.3">
      <c r="A19" s="10" t="s">
        <v>336</v>
      </c>
      <c r="B19" s="11" t="s">
        <v>66</v>
      </c>
      <c r="C19" s="3" t="s">
        <v>371</v>
      </c>
      <c r="D19" s="3" t="s">
        <v>66</v>
      </c>
      <c r="E19" s="3" t="s">
        <v>379</v>
      </c>
      <c r="F19" s="3" t="s">
        <v>403</v>
      </c>
      <c r="G19" s="3" t="s">
        <v>404</v>
      </c>
    </row>
    <row r="20" spans="1:7" x14ac:dyDescent="0.3">
      <c r="A20" s="10" t="s">
        <v>336</v>
      </c>
      <c r="B20" s="11" t="s">
        <v>94</v>
      </c>
      <c r="C20" s="3" t="s">
        <v>371</v>
      </c>
      <c r="D20" s="3" t="s">
        <v>372</v>
      </c>
      <c r="E20" s="3" t="s">
        <v>382</v>
      </c>
      <c r="F20" s="3" t="s">
        <v>405</v>
      </c>
      <c r="G20" s="3" t="s">
        <v>406</v>
      </c>
    </row>
    <row r="21" spans="1:7" x14ac:dyDescent="0.3">
      <c r="A21" s="10" t="s">
        <v>336</v>
      </c>
      <c r="B21" s="11" t="s">
        <v>407</v>
      </c>
      <c r="C21" s="3" t="s">
        <v>371</v>
      </c>
      <c r="D21" s="3" t="s">
        <v>372</v>
      </c>
      <c r="E21" s="3" t="s">
        <v>408</v>
      </c>
      <c r="F21" s="3" t="s">
        <v>409</v>
      </c>
      <c r="G21" s="3" t="s">
        <v>410</v>
      </c>
    </row>
    <row r="22" spans="1:7" x14ac:dyDescent="0.3">
      <c r="A22" s="10" t="s">
        <v>336</v>
      </c>
      <c r="B22" s="11" t="s">
        <v>411</v>
      </c>
      <c r="C22" s="3" t="s">
        <v>371</v>
      </c>
      <c r="D22" s="3" t="s">
        <v>412</v>
      </c>
      <c r="E22" s="3" t="s">
        <v>413</v>
      </c>
      <c r="F22" s="3" t="s">
        <v>414</v>
      </c>
      <c r="G22" s="3" t="s">
        <v>415</v>
      </c>
    </row>
    <row r="23" spans="1:7" x14ac:dyDescent="0.3">
      <c r="A23" s="10" t="s">
        <v>336</v>
      </c>
      <c r="B23" s="11" t="s">
        <v>416</v>
      </c>
      <c r="C23" s="3" t="s">
        <v>371</v>
      </c>
      <c r="D23" s="3" t="s">
        <v>412</v>
      </c>
      <c r="E23" s="3" t="s">
        <v>417</v>
      </c>
      <c r="F23" s="3" t="s">
        <v>418</v>
      </c>
      <c r="G23" s="3" t="s">
        <v>419</v>
      </c>
    </row>
    <row r="24" spans="1:7" x14ac:dyDescent="0.3">
      <c r="A24" s="10" t="s">
        <v>336</v>
      </c>
      <c r="B24" s="11" t="s">
        <v>420</v>
      </c>
      <c r="C24" s="3" t="s">
        <v>371</v>
      </c>
      <c r="D24" s="3" t="s">
        <v>372</v>
      </c>
      <c r="E24" s="3" t="s">
        <v>421</v>
      </c>
      <c r="F24" s="3" t="s">
        <v>422</v>
      </c>
      <c r="G24" s="3" t="s">
        <v>423</v>
      </c>
    </row>
    <row r="25" spans="1:7" x14ac:dyDescent="0.3">
      <c r="A25" s="10" t="s">
        <v>336</v>
      </c>
      <c r="B25" s="11" t="s">
        <v>424</v>
      </c>
      <c r="C25" s="3" t="s">
        <v>371</v>
      </c>
      <c r="D25" s="3" t="s">
        <v>412</v>
      </c>
      <c r="E25" s="3" t="s">
        <v>425</v>
      </c>
      <c r="F25" s="3" t="s">
        <v>426</v>
      </c>
      <c r="G25" s="3" t="s">
        <v>427</v>
      </c>
    </row>
    <row r="26" spans="1:7" x14ac:dyDescent="0.3">
      <c r="A26" s="10" t="s">
        <v>336</v>
      </c>
      <c r="B26" s="11" t="s">
        <v>428</v>
      </c>
      <c r="C26" s="3" t="s">
        <v>371</v>
      </c>
      <c r="D26" s="3" t="s">
        <v>412</v>
      </c>
      <c r="E26" s="3" t="s">
        <v>429</v>
      </c>
      <c r="F26" s="3" t="s">
        <v>430</v>
      </c>
      <c r="G26" s="3" t="s">
        <v>431</v>
      </c>
    </row>
    <row r="27" spans="1:7" x14ac:dyDescent="0.3">
      <c r="A27" s="10" t="s">
        <v>336</v>
      </c>
      <c r="B27" s="11" t="s">
        <v>432</v>
      </c>
      <c r="C27" s="3" t="s">
        <v>371</v>
      </c>
      <c r="D27" s="3" t="s">
        <v>412</v>
      </c>
      <c r="E27" s="3" t="s">
        <v>433</v>
      </c>
      <c r="F27" s="3" t="s">
        <v>434</v>
      </c>
      <c r="G27" s="3" t="s">
        <v>435</v>
      </c>
    </row>
    <row r="28" spans="1:7" x14ac:dyDescent="0.3">
      <c r="A28" s="10" t="s">
        <v>336</v>
      </c>
      <c r="B28" s="11" t="s">
        <v>436</v>
      </c>
      <c r="C28" s="3" t="s">
        <v>371</v>
      </c>
      <c r="D28" s="3" t="s">
        <v>412</v>
      </c>
      <c r="E28" s="3" t="s">
        <v>437</v>
      </c>
      <c r="F28" s="3" t="s">
        <v>438</v>
      </c>
      <c r="G28" s="3" t="s">
        <v>439</v>
      </c>
    </row>
    <row r="29" spans="1:7" x14ac:dyDescent="0.3">
      <c r="A29" s="10" t="s">
        <v>336</v>
      </c>
      <c r="B29" s="11" t="s">
        <v>440</v>
      </c>
      <c r="C29" s="3" t="s">
        <v>371</v>
      </c>
      <c r="D29" s="3" t="s">
        <v>372</v>
      </c>
      <c r="E29" s="3" t="s">
        <v>441</v>
      </c>
      <c r="F29" s="3" t="s">
        <v>442</v>
      </c>
      <c r="G29" s="3" t="s">
        <v>443</v>
      </c>
    </row>
    <row r="30" spans="1:7" x14ac:dyDescent="0.3">
      <c r="A30" s="10" t="s">
        <v>336</v>
      </c>
      <c r="B30" s="11" t="s">
        <v>444</v>
      </c>
      <c r="C30" s="3" t="s">
        <v>371</v>
      </c>
      <c r="D30" s="3" t="s">
        <v>372</v>
      </c>
      <c r="E30" s="3" t="s">
        <v>445</v>
      </c>
      <c r="F30" s="3" t="s">
        <v>446</v>
      </c>
      <c r="G30" s="3" t="s">
        <v>447</v>
      </c>
    </row>
    <row r="31" spans="1:7" x14ac:dyDescent="0.3">
      <c r="A31" s="10" t="s">
        <v>336</v>
      </c>
      <c r="B31" s="11" t="s">
        <v>448</v>
      </c>
      <c r="C31" s="3" t="s">
        <v>371</v>
      </c>
      <c r="D31" s="3" t="s">
        <v>449</v>
      </c>
      <c r="E31" s="3" t="s">
        <v>450</v>
      </c>
      <c r="F31" s="3" t="s">
        <v>451</v>
      </c>
      <c r="G31" s="3" t="s">
        <v>452</v>
      </c>
    </row>
    <row r="32" spans="1:7" x14ac:dyDescent="0.3">
      <c r="A32" s="10" t="s">
        <v>336</v>
      </c>
      <c r="B32" s="11" t="s">
        <v>453</v>
      </c>
      <c r="C32" s="3" t="s">
        <v>454</v>
      </c>
      <c r="D32" s="3" t="s">
        <v>449</v>
      </c>
      <c r="E32" s="3" t="s">
        <v>450</v>
      </c>
      <c r="F32" s="3" t="s">
        <v>455</v>
      </c>
      <c r="G32" s="3" t="s">
        <v>456</v>
      </c>
    </row>
    <row r="33" spans="1:7" x14ac:dyDescent="0.3">
      <c r="A33" s="10" t="s">
        <v>336</v>
      </c>
      <c r="B33" s="11" t="s">
        <v>457</v>
      </c>
      <c r="C33" s="3" t="s">
        <v>458</v>
      </c>
      <c r="D33" s="3" t="s">
        <v>449</v>
      </c>
      <c r="E33" s="3" t="s">
        <v>450</v>
      </c>
      <c r="F33" s="3" t="s">
        <v>456</v>
      </c>
      <c r="G33" s="3" t="s">
        <v>459</v>
      </c>
    </row>
    <row r="34" spans="1:7" ht="25.05" customHeight="1" x14ac:dyDescent="0.3">
      <c r="A34" s="10" t="s">
        <v>336</v>
      </c>
      <c r="B34" s="11" t="s">
        <v>460</v>
      </c>
      <c r="C34" s="3" t="s">
        <v>461</v>
      </c>
      <c r="D34" s="3" t="s">
        <v>449</v>
      </c>
      <c r="E34" s="3" t="s">
        <v>450</v>
      </c>
      <c r="F34" s="3" t="s">
        <v>462</v>
      </c>
      <c r="G34" s="3" t="s">
        <v>462</v>
      </c>
    </row>
    <row r="35" spans="1:7" ht="25.05" customHeight="1" x14ac:dyDescent="0.3">
      <c r="A35" s="10" t="s">
        <v>336</v>
      </c>
      <c r="B35" s="11" t="s">
        <v>121</v>
      </c>
      <c r="C35" s="3" t="s">
        <v>371</v>
      </c>
      <c r="D35" s="3" t="s">
        <v>121</v>
      </c>
      <c r="E35" s="3" t="s">
        <v>390</v>
      </c>
      <c r="F35" s="3" t="s">
        <v>463</v>
      </c>
      <c r="G35" s="3" t="s">
        <v>464</v>
      </c>
    </row>
    <row r="36" spans="1:7" x14ac:dyDescent="0.3">
      <c r="A36" s="10" t="s">
        <v>336</v>
      </c>
      <c r="B36" s="11" t="s">
        <v>393</v>
      </c>
      <c r="C36" s="3" t="s">
        <v>371</v>
      </c>
      <c r="D36" s="3" t="s">
        <v>121</v>
      </c>
      <c r="E36" s="3" t="s">
        <v>394</v>
      </c>
      <c r="F36" s="3" t="s">
        <v>463</v>
      </c>
      <c r="G36" s="3" t="s">
        <v>464</v>
      </c>
    </row>
    <row r="37" spans="1:7" x14ac:dyDescent="0.3">
      <c r="A37" s="10" t="s">
        <v>336</v>
      </c>
      <c r="B37" s="11" t="s">
        <v>147</v>
      </c>
      <c r="C37" s="3" t="s">
        <v>371</v>
      </c>
      <c r="D37" s="3" t="s">
        <v>395</v>
      </c>
      <c r="E37" s="3" t="s">
        <v>396</v>
      </c>
      <c r="F37" s="3" t="s">
        <v>397</v>
      </c>
      <c r="G37" s="3" t="s">
        <v>397</v>
      </c>
    </row>
    <row r="39" spans="1:7" x14ac:dyDescent="0.3">
      <c r="A39" s="9" t="s">
        <v>465</v>
      </c>
    </row>
    <row r="40" spans="1:7" x14ac:dyDescent="0.3">
      <c r="A40" s="1" t="s">
        <v>363</v>
      </c>
      <c r="B40" s="1" t="s">
        <v>364</v>
      </c>
      <c r="C40" s="1" t="s">
        <v>365</v>
      </c>
      <c r="D40" s="1" t="s">
        <v>366</v>
      </c>
      <c r="E40" s="1" t="s">
        <v>367</v>
      </c>
      <c r="F40" s="1" t="s">
        <v>368</v>
      </c>
      <c r="G40" s="1" t="s">
        <v>369</v>
      </c>
    </row>
    <row r="41" spans="1:7" x14ac:dyDescent="0.3">
      <c r="A41" s="10" t="s">
        <v>337</v>
      </c>
      <c r="B41" s="11" t="s">
        <v>466</v>
      </c>
      <c r="C41" s="3" t="s">
        <v>371</v>
      </c>
      <c r="D41" s="3" t="s">
        <v>372</v>
      </c>
      <c r="E41" s="3" t="s">
        <v>467</v>
      </c>
      <c r="F41" s="3" t="s">
        <v>468</v>
      </c>
      <c r="G41" s="3" t="s">
        <v>469</v>
      </c>
    </row>
    <row r="42" spans="1:7" x14ac:dyDescent="0.3">
      <c r="A42" s="10" t="s">
        <v>337</v>
      </c>
      <c r="B42" s="11" t="s">
        <v>470</v>
      </c>
      <c r="C42" s="3" t="s">
        <v>371</v>
      </c>
      <c r="D42" s="3" t="s">
        <v>372</v>
      </c>
      <c r="E42" s="3" t="s">
        <v>471</v>
      </c>
      <c r="F42" s="3" t="s">
        <v>472</v>
      </c>
      <c r="G42" s="3" t="s">
        <v>473</v>
      </c>
    </row>
    <row r="43" spans="1:7" x14ac:dyDescent="0.3">
      <c r="A43" s="10" t="s">
        <v>337</v>
      </c>
      <c r="B43" s="11" t="s">
        <v>420</v>
      </c>
      <c r="C43" s="3" t="s">
        <v>371</v>
      </c>
      <c r="D43" s="3" t="s">
        <v>372</v>
      </c>
      <c r="E43" s="3" t="s">
        <v>421</v>
      </c>
      <c r="F43" s="3" t="s">
        <v>474</v>
      </c>
      <c r="G43" s="3" t="s">
        <v>475</v>
      </c>
    </row>
    <row r="44" spans="1:7" x14ac:dyDescent="0.3">
      <c r="A44" s="10" t="s">
        <v>337</v>
      </c>
      <c r="B44" s="11" t="s">
        <v>424</v>
      </c>
      <c r="C44" s="3" t="s">
        <v>371</v>
      </c>
      <c r="D44" s="3" t="s">
        <v>412</v>
      </c>
      <c r="E44" s="3" t="s">
        <v>425</v>
      </c>
      <c r="F44" s="3" t="s">
        <v>426</v>
      </c>
      <c r="G44" s="3" t="s">
        <v>476</v>
      </c>
    </row>
    <row r="45" spans="1:7" x14ac:dyDescent="0.3">
      <c r="A45" s="10" t="s">
        <v>337</v>
      </c>
      <c r="B45" s="11" t="s">
        <v>428</v>
      </c>
      <c r="C45" s="3" t="s">
        <v>371</v>
      </c>
      <c r="D45" s="3" t="s">
        <v>412</v>
      </c>
      <c r="E45" s="3" t="s">
        <v>429</v>
      </c>
      <c r="F45" s="3" t="s">
        <v>430</v>
      </c>
      <c r="G45" s="3" t="s">
        <v>477</v>
      </c>
    </row>
    <row r="46" spans="1:7" x14ac:dyDescent="0.3">
      <c r="A46" s="10" t="s">
        <v>337</v>
      </c>
      <c r="B46" s="11" t="s">
        <v>432</v>
      </c>
      <c r="C46" s="3" t="s">
        <v>371</v>
      </c>
      <c r="D46" s="3" t="s">
        <v>412</v>
      </c>
      <c r="E46" s="3" t="s">
        <v>433</v>
      </c>
      <c r="F46" s="3" t="s">
        <v>478</v>
      </c>
      <c r="G46" s="3" t="s">
        <v>479</v>
      </c>
    </row>
    <row r="47" spans="1:7" x14ac:dyDescent="0.3">
      <c r="A47" s="10" t="s">
        <v>337</v>
      </c>
      <c r="B47" s="11" t="s">
        <v>436</v>
      </c>
      <c r="C47" s="3" t="s">
        <v>371</v>
      </c>
      <c r="D47" s="3" t="s">
        <v>412</v>
      </c>
      <c r="E47" s="3" t="s">
        <v>437</v>
      </c>
      <c r="F47" s="3" t="s">
        <v>480</v>
      </c>
      <c r="G47" s="3" t="s">
        <v>481</v>
      </c>
    </row>
    <row r="48" spans="1:7" x14ac:dyDescent="0.3">
      <c r="A48" s="10" t="s">
        <v>337</v>
      </c>
      <c r="B48" s="11" t="s">
        <v>440</v>
      </c>
      <c r="C48" s="3" t="s">
        <v>371</v>
      </c>
      <c r="D48" s="3" t="s">
        <v>372</v>
      </c>
      <c r="E48" s="3" t="s">
        <v>441</v>
      </c>
      <c r="F48" s="3" t="s">
        <v>482</v>
      </c>
      <c r="G48" s="3" t="s">
        <v>483</v>
      </c>
    </row>
    <row r="49" spans="1:7" x14ac:dyDescent="0.3">
      <c r="A49" s="10" t="s">
        <v>337</v>
      </c>
      <c r="B49" s="11" t="s">
        <v>444</v>
      </c>
      <c r="C49" s="3" t="s">
        <v>371</v>
      </c>
      <c r="D49" s="3" t="s">
        <v>372</v>
      </c>
      <c r="E49" s="3" t="s">
        <v>445</v>
      </c>
      <c r="F49" s="3" t="s">
        <v>484</v>
      </c>
      <c r="G49" s="3" t="s">
        <v>485</v>
      </c>
    </row>
    <row r="50" spans="1:7" ht="25.05" customHeight="1" x14ac:dyDescent="0.3">
      <c r="A50" s="10" t="s">
        <v>337</v>
      </c>
      <c r="B50" s="11" t="s">
        <v>486</v>
      </c>
      <c r="C50" s="3" t="s">
        <v>371</v>
      </c>
      <c r="D50" s="3" t="s">
        <v>372</v>
      </c>
      <c r="E50" s="3" t="s">
        <v>373</v>
      </c>
      <c r="F50" s="3" t="s">
        <v>487</v>
      </c>
      <c r="G50" s="3" t="s">
        <v>488</v>
      </c>
    </row>
    <row r="51" spans="1:7" ht="25.05" customHeight="1" x14ac:dyDescent="0.3">
      <c r="A51" s="10" t="s">
        <v>337</v>
      </c>
      <c r="B51" s="11" t="s">
        <v>489</v>
      </c>
      <c r="C51" s="3" t="s">
        <v>371</v>
      </c>
      <c r="D51" s="3" t="s">
        <v>372</v>
      </c>
      <c r="E51" s="3" t="s">
        <v>373</v>
      </c>
      <c r="F51" s="3" t="s">
        <v>490</v>
      </c>
      <c r="G51" s="3" t="s">
        <v>491</v>
      </c>
    </row>
    <row r="52" spans="1:7" x14ac:dyDescent="0.3">
      <c r="A52" s="10" t="s">
        <v>337</v>
      </c>
      <c r="B52" s="11" t="s">
        <v>492</v>
      </c>
      <c r="C52" s="3" t="s">
        <v>371</v>
      </c>
      <c r="D52" s="3" t="s">
        <v>372</v>
      </c>
      <c r="E52" s="3" t="s">
        <v>493</v>
      </c>
      <c r="F52" s="3" t="s">
        <v>494</v>
      </c>
      <c r="G52" s="3" t="s">
        <v>495</v>
      </c>
    </row>
    <row r="53" spans="1:7" x14ac:dyDescent="0.3">
      <c r="A53" s="10" t="s">
        <v>337</v>
      </c>
      <c r="B53" s="11" t="s">
        <v>66</v>
      </c>
      <c r="C53" s="3" t="s">
        <v>371</v>
      </c>
      <c r="D53" s="3" t="s">
        <v>66</v>
      </c>
      <c r="E53" s="3" t="s">
        <v>379</v>
      </c>
      <c r="F53" s="3" t="s">
        <v>496</v>
      </c>
      <c r="G53" s="3" t="s">
        <v>497</v>
      </c>
    </row>
    <row r="54" spans="1:7" x14ac:dyDescent="0.3">
      <c r="A54" s="10" t="s">
        <v>337</v>
      </c>
      <c r="B54" s="11" t="s">
        <v>94</v>
      </c>
      <c r="C54" s="3" t="s">
        <v>371</v>
      </c>
      <c r="D54" s="3" t="s">
        <v>372</v>
      </c>
      <c r="E54" s="3" t="s">
        <v>382</v>
      </c>
      <c r="F54" s="3" t="s">
        <v>498</v>
      </c>
      <c r="G54" s="3" t="s">
        <v>499</v>
      </c>
    </row>
    <row r="55" spans="1:7" x14ac:dyDescent="0.3">
      <c r="A55" s="10" t="s">
        <v>337</v>
      </c>
      <c r="B55" s="11" t="s">
        <v>500</v>
      </c>
      <c r="C55" s="3" t="s">
        <v>371</v>
      </c>
      <c r="D55" s="3" t="s">
        <v>501</v>
      </c>
      <c r="E55" s="3" t="s">
        <v>502</v>
      </c>
      <c r="F55" s="3" t="s">
        <v>503</v>
      </c>
      <c r="G55" s="3" t="s">
        <v>476</v>
      </c>
    </row>
    <row r="56" spans="1:7" x14ac:dyDescent="0.3">
      <c r="A56" s="10" t="s">
        <v>337</v>
      </c>
      <c r="B56" s="11" t="s">
        <v>457</v>
      </c>
      <c r="C56" s="3" t="s">
        <v>371</v>
      </c>
      <c r="D56" s="3" t="s">
        <v>449</v>
      </c>
      <c r="E56" s="3" t="s">
        <v>450</v>
      </c>
      <c r="F56" s="3" t="s">
        <v>459</v>
      </c>
      <c r="G56" s="3" t="s">
        <v>459</v>
      </c>
    </row>
    <row r="57" spans="1:7" x14ac:dyDescent="0.3">
      <c r="A57" s="10" t="s">
        <v>337</v>
      </c>
      <c r="B57" s="11" t="s">
        <v>460</v>
      </c>
      <c r="C57" s="3" t="s">
        <v>371</v>
      </c>
      <c r="D57" s="3" t="s">
        <v>449</v>
      </c>
      <c r="E57" s="3" t="s">
        <v>450</v>
      </c>
      <c r="F57" s="3" t="s">
        <v>462</v>
      </c>
      <c r="G57" s="3" t="s">
        <v>462</v>
      </c>
    </row>
    <row r="58" spans="1:7" x14ac:dyDescent="0.3">
      <c r="A58" s="10" t="s">
        <v>337</v>
      </c>
      <c r="B58" s="11" t="s">
        <v>504</v>
      </c>
      <c r="C58" s="3" t="s">
        <v>371</v>
      </c>
      <c r="D58" s="3" t="s">
        <v>449</v>
      </c>
      <c r="E58" s="3" t="s">
        <v>450</v>
      </c>
      <c r="F58" s="3" t="s">
        <v>505</v>
      </c>
      <c r="G58" s="3" t="s">
        <v>505</v>
      </c>
    </row>
    <row r="59" spans="1:7" ht="25.95" customHeight="1" x14ac:dyDescent="0.3">
      <c r="A59" s="10" t="s">
        <v>337</v>
      </c>
      <c r="B59" s="11" t="s">
        <v>506</v>
      </c>
      <c r="C59" s="3" t="s">
        <v>371</v>
      </c>
      <c r="D59" s="3" t="s">
        <v>449</v>
      </c>
      <c r="E59" s="3" t="s">
        <v>450</v>
      </c>
      <c r="F59" s="3" t="s">
        <v>451</v>
      </c>
      <c r="G59" s="3" t="s">
        <v>452</v>
      </c>
    </row>
    <row r="60" spans="1:7" ht="25.05" customHeight="1" x14ac:dyDescent="0.3">
      <c r="A60" s="10" t="s">
        <v>337</v>
      </c>
      <c r="B60" s="11" t="s">
        <v>121</v>
      </c>
      <c r="C60" s="3" t="s">
        <v>371</v>
      </c>
      <c r="D60" s="3" t="s">
        <v>121</v>
      </c>
      <c r="E60" s="3" t="s">
        <v>390</v>
      </c>
      <c r="F60" s="3" t="s">
        <v>507</v>
      </c>
      <c r="G60" s="3" t="s">
        <v>508</v>
      </c>
    </row>
    <row r="61" spans="1:7" x14ac:dyDescent="0.3">
      <c r="A61" s="10" t="s">
        <v>337</v>
      </c>
      <c r="B61" s="11" t="s">
        <v>393</v>
      </c>
      <c r="C61" s="3" t="s">
        <v>371</v>
      </c>
      <c r="D61" s="3" t="s">
        <v>121</v>
      </c>
      <c r="E61" s="3" t="s">
        <v>394</v>
      </c>
      <c r="F61" s="3" t="s">
        <v>507</v>
      </c>
      <c r="G61" s="3" t="s">
        <v>508</v>
      </c>
    </row>
    <row r="62" spans="1:7" x14ac:dyDescent="0.3">
      <c r="A62" s="10" t="s">
        <v>337</v>
      </c>
      <c r="B62" s="11" t="s">
        <v>147</v>
      </c>
      <c r="C62" s="3" t="s">
        <v>371</v>
      </c>
      <c r="D62" s="3" t="s">
        <v>395</v>
      </c>
      <c r="E62" s="3" t="s">
        <v>396</v>
      </c>
      <c r="F62" s="3" t="s">
        <v>397</v>
      </c>
      <c r="G62" s="3" t="s">
        <v>397</v>
      </c>
    </row>
    <row r="64" spans="1:7" x14ac:dyDescent="0.3">
      <c r="A64" s="9" t="s">
        <v>509</v>
      </c>
    </row>
    <row r="65" spans="1:7" x14ac:dyDescent="0.3">
      <c r="A65" s="1" t="s">
        <v>363</v>
      </c>
      <c r="B65" s="1" t="s">
        <v>364</v>
      </c>
      <c r="C65" s="1" t="s">
        <v>365</v>
      </c>
      <c r="D65" s="1" t="s">
        <v>366</v>
      </c>
      <c r="E65" s="1" t="s">
        <v>367</v>
      </c>
      <c r="F65" s="1" t="s">
        <v>368</v>
      </c>
      <c r="G65" s="1" t="s">
        <v>369</v>
      </c>
    </row>
    <row r="66" spans="1:7" ht="25.05" customHeight="1" x14ac:dyDescent="0.3">
      <c r="A66" s="10" t="s">
        <v>338</v>
      </c>
      <c r="B66" s="11" t="s">
        <v>370</v>
      </c>
      <c r="C66" s="3" t="s">
        <v>371</v>
      </c>
      <c r="D66" s="3" t="s">
        <v>372</v>
      </c>
      <c r="E66" s="3" t="s">
        <v>373</v>
      </c>
      <c r="F66" s="3" t="s">
        <v>510</v>
      </c>
      <c r="G66" s="3" t="s">
        <v>511</v>
      </c>
    </row>
    <row r="67" spans="1:7" ht="25.05" customHeight="1" x14ac:dyDescent="0.3">
      <c r="A67" s="10" t="s">
        <v>338</v>
      </c>
      <c r="B67" s="11" t="s">
        <v>376</v>
      </c>
      <c r="C67" s="3" t="s">
        <v>371</v>
      </c>
      <c r="D67" s="3" t="s">
        <v>372</v>
      </c>
      <c r="E67" s="3" t="s">
        <v>373</v>
      </c>
      <c r="F67" s="3" t="s">
        <v>512</v>
      </c>
      <c r="G67" s="3" t="s">
        <v>513</v>
      </c>
    </row>
    <row r="68" spans="1:7" x14ac:dyDescent="0.3">
      <c r="A68" s="10" t="s">
        <v>338</v>
      </c>
      <c r="B68" s="11" t="s">
        <v>385</v>
      </c>
      <c r="C68" s="3" t="s">
        <v>371</v>
      </c>
      <c r="D68" s="3" t="s">
        <v>386</v>
      </c>
      <c r="E68" s="3" t="s">
        <v>387</v>
      </c>
      <c r="F68" s="3" t="s">
        <v>514</v>
      </c>
      <c r="G68" s="3" t="s">
        <v>515</v>
      </c>
    </row>
    <row r="69" spans="1:7" x14ac:dyDescent="0.3">
      <c r="A69" s="10" t="s">
        <v>338</v>
      </c>
      <c r="B69" s="11" t="s">
        <v>66</v>
      </c>
      <c r="C69" s="3" t="s">
        <v>371</v>
      </c>
      <c r="D69" s="3" t="s">
        <v>66</v>
      </c>
      <c r="E69" s="3" t="s">
        <v>379</v>
      </c>
      <c r="F69" s="3" t="s">
        <v>516</v>
      </c>
      <c r="G69" s="3" t="s">
        <v>517</v>
      </c>
    </row>
    <row r="70" spans="1:7" x14ac:dyDescent="0.3">
      <c r="A70" s="10" t="s">
        <v>338</v>
      </c>
      <c r="B70" s="11" t="s">
        <v>94</v>
      </c>
      <c r="C70" s="3" t="s">
        <v>371</v>
      </c>
      <c r="D70" s="3" t="s">
        <v>372</v>
      </c>
      <c r="E70" s="3" t="s">
        <v>382</v>
      </c>
      <c r="F70" s="3" t="s">
        <v>518</v>
      </c>
      <c r="G70" s="3" t="s">
        <v>519</v>
      </c>
    </row>
    <row r="71" spans="1:7" x14ac:dyDescent="0.3">
      <c r="A71" s="10" t="s">
        <v>338</v>
      </c>
      <c r="B71" s="11" t="s">
        <v>520</v>
      </c>
      <c r="C71" s="3" t="s">
        <v>371</v>
      </c>
      <c r="D71" s="3" t="s">
        <v>372</v>
      </c>
      <c r="E71" s="3" t="s">
        <v>521</v>
      </c>
      <c r="F71" s="3" t="s">
        <v>522</v>
      </c>
      <c r="G71" s="3" t="s">
        <v>523</v>
      </c>
    </row>
    <row r="72" spans="1:7" x14ac:dyDescent="0.3">
      <c r="A72" s="10" t="s">
        <v>338</v>
      </c>
      <c r="B72" s="11" t="s">
        <v>524</v>
      </c>
      <c r="C72" s="3" t="s">
        <v>371</v>
      </c>
      <c r="D72" s="3" t="s">
        <v>386</v>
      </c>
      <c r="E72" s="3" t="s">
        <v>525</v>
      </c>
      <c r="F72" s="3" t="s">
        <v>526</v>
      </c>
      <c r="G72" s="3" t="s">
        <v>527</v>
      </c>
    </row>
    <row r="73" spans="1:7" x14ac:dyDescent="0.3">
      <c r="A73" s="10" t="s">
        <v>338</v>
      </c>
      <c r="B73" s="11" t="s">
        <v>528</v>
      </c>
      <c r="C73" s="3" t="s">
        <v>371</v>
      </c>
      <c r="D73" s="3" t="s">
        <v>412</v>
      </c>
      <c r="E73" s="3" t="s">
        <v>529</v>
      </c>
      <c r="F73" s="3" t="s">
        <v>530</v>
      </c>
      <c r="G73" s="3" t="s">
        <v>531</v>
      </c>
    </row>
    <row r="74" spans="1:7" x14ac:dyDescent="0.3">
      <c r="A74" s="10" t="s">
        <v>338</v>
      </c>
      <c r="B74" s="11" t="s">
        <v>532</v>
      </c>
      <c r="C74" s="3" t="s">
        <v>371</v>
      </c>
      <c r="D74" s="3" t="s">
        <v>372</v>
      </c>
      <c r="E74" s="3" t="s">
        <v>467</v>
      </c>
      <c r="F74" s="3" t="s">
        <v>533</v>
      </c>
      <c r="G74" s="3" t="s">
        <v>534</v>
      </c>
    </row>
    <row r="75" spans="1:7" x14ac:dyDescent="0.3">
      <c r="A75" s="10" t="s">
        <v>338</v>
      </c>
      <c r="B75" s="11" t="s">
        <v>535</v>
      </c>
      <c r="C75" s="3" t="s">
        <v>371</v>
      </c>
      <c r="D75" s="3" t="s">
        <v>449</v>
      </c>
      <c r="E75" s="3" t="s">
        <v>450</v>
      </c>
      <c r="F75" s="3" t="s">
        <v>536</v>
      </c>
      <c r="G75" s="3" t="s">
        <v>537</v>
      </c>
    </row>
    <row r="76" spans="1:7" x14ac:dyDescent="0.3">
      <c r="A76" s="10" t="s">
        <v>338</v>
      </c>
      <c r="B76" s="11" t="s">
        <v>538</v>
      </c>
      <c r="C76" s="3" t="s">
        <v>371</v>
      </c>
      <c r="D76" s="3" t="s">
        <v>449</v>
      </c>
      <c r="E76" s="3" t="s">
        <v>450</v>
      </c>
      <c r="F76" s="3" t="s">
        <v>539</v>
      </c>
      <c r="G76" s="3" t="s">
        <v>539</v>
      </c>
    </row>
    <row r="77" spans="1:7" ht="25.95" customHeight="1" x14ac:dyDescent="0.3">
      <c r="A77" s="10" t="s">
        <v>338</v>
      </c>
      <c r="B77" s="11" t="s">
        <v>540</v>
      </c>
      <c r="C77" s="3" t="s">
        <v>371</v>
      </c>
      <c r="D77" s="3" t="s">
        <v>121</v>
      </c>
      <c r="E77" s="3" t="s">
        <v>390</v>
      </c>
      <c r="F77" s="3" t="s">
        <v>541</v>
      </c>
      <c r="G77" s="3" t="s">
        <v>542</v>
      </c>
    </row>
    <row r="79" spans="1:7" x14ac:dyDescent="0.3">
      <c r="A79" s="9" t="s">
        <v>543</v>
      </c>
    </row>
    <row r="80" spans="1:7" ht="15.75" customHeight="1" x14ac:dyDescent="0.3">
      <c r="A80" s="28" t="s">
        <v>544</v>
      </c>
      <c r="B80" s="25"/>
      <c r="C80" s="23" t="s">
        <v>545</v>
      </c>
      <c r="D80" s="24"/>
      <c r="E80" s="24"/>
      <c r="F80" s="24"/>
      <c r="G80" s="25"/>
    </row>
    <row r="81" spans="1:7" ht="15.75" customHeight="1" x14ac:dyDescent="0.3">
      <c r="A81" s="28" t="s">
        <v>546</v>
      </c>
      <c r="B81" s="25"/>
      <c r="C81" s="23" t="s">
        <v>547</v>
      </c>
      <c r="D81" s="24"/>
      <c r="E81" s="24"/>
      <c r="F81" s="24"/>
      <c r="G81" s="25"/>
    </row>
    <row r="82" spans="1:7" ht="15.75" customHeight="1" x14ac:dyDescent="0.3">
      <c r="A82" s="28" t="s">
        <v>548</v>
      </c>
      <c r="B82" s="25"/>
      <c r="C82" s="23" t="s">
        <v>549</v>
      </c>
      <c r="D82" s="24"/>
      <c r="E82" s="24"/>
      <c r="F82" s="24"/>
      <c r="G82" s="25"/>
    </row>
  </sheetData>
  <mergeCells count="7">
    <mergeCell ref="C82:G82"/>
    <mergeCell ref="A82:B82"/>
    <mergeCell ref="A81:B81"/>
    <mergeCell ref="C81:G81"/>
    <mergeCell ref="A2:G2"/>
    <mergeCell ref="A80:B80"/>
    <mergeCell ref="C80:G80"/>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2"/>
  <sheetViews>
    <sheetView showGridLines="0" workbookViewId="0">
      <pane ySplit="4" topLeftCell="A5" activePane="bottomLeft" state="frozen"/>
      <selection pane="bottomLeft"/>
    </sheetView>
  </sheetViews>
  <sheetFormatPr defaultColWidth="8.6640625" defaultRowHeight="14.4" x14ac:dyDescent="0.3"/>
  <cols>
    <col min="1" max="1" width="28" customWidth="1"/>
    <col min="2" max="2" width="10" customWidth="1"/>
    <col min="3" max="3" width="26" customWidth="1"/>
    <col min="4" max="4" width="58" customWidth="1"/>
    <col min="5" max="5" width="16" customWidth="1"/>
  </cols>
  <sheetData>
    <row r="1" spans="1:5" ht="18" customHeight="1" x14ac:dyDescent="0.3">
      <c r="A1" s="7" t="s">
        <v>550</v>
      </c>
    </row>
    <row r="2" spans="1:5" ht="30" customHeight="1" x14ac:dyDescent="0.3">
      <c r="A2" s="26" t="s">
        <v>551</v>
      </c>
      <c r="B2" s="27"/>
      <c r="C2" s="27"/>
      <c r="D2" s="27"/>
      <c r="E2" s="27"/>
    </row>
    <row r="4" spans="1:5" x14ac:dyDescent="0.3">
      <c r="A4" s="1" t="s">
        <v>552</v>
      </c>
      <c r="B4" s="1" t="s">
        <v>553</v>
      </c>
      <c r="C4" s="1" t="s">
        <v>554</v>
      </c>
      <c r="D4" s="1" t="s">
        <v>555</v>
      </c>
      <c r="E4" s="1" t="s">
        <v>556</v>
      </c>
    </row>
    <row r="5" spans="1:5" x14ac:dyDescent="0.3">
      <c r="A5" s="8" t="s">
        <v>557</v>
      </c>
      <c r="B5" s="4" t="s">
        <v>558</v>
      </c>
      <c r="C5" s="3" t="s">
        <v>559</v>
      </c>
      <c r="D5" s="3" t="s">
        <v>560</v>
      </c>
      <c r="E5" s="4" t="s">
        <v>561</v>
      </c>
    </row>
    <row r="6" spans="1:5" x14ac:dyDescent="0.3">
      <c r="A6" s="8" t="s">
        <v>562</v>
      </c>
      <c r="B6" s="4" t="s">
        <v>563</v>
      </c>
      <c r="C6" s="3" t="s">
        <v>564</v>
      </c>
      <c r="D6" s="3" t="s">
        <v>565</v>
      </c>
      <c r="E6" s="4" t="s">
        <v>561</v>
      </c>
    </row>
    <row r="7" spans="1:5" x14ac:dyDescent="0.3">
      <c r="A7" s="8" t="s">
        <v>566</v>
      </c>
      <c r="B7" s="4" t="s">
        <v>567</v>
      </c>
      <c r="C7" s="3" t="s">
        <v>568</v>
      </c>
      <c r="D7" s="3" t="s">
        <v>569</v>
      </c>
      <c r="E7" s="4" t="s">
        <v>561</v>
      </c>
    </row>
    <row r="8" spans="1:5" x14ac:dyDescent="0.3">
      <c r="A8" s="8" t="s">
        <v>570</v>
      </c>
      <c r="B8" s="4" t="s">
        <v>567</v>
      </c>
      <c r="C8" s="3" t="s">
        <v>571</v>
      </c>
      <c r="D8" s="3" t="s">
        <v>572</v>
      </c>
      <c r="E8" s="4" t="s">
        <v>561</v>
      </c>
    </row>
    <row r="9" spans="1:5" x14ac:dyDescent="0.3">
      <c r="A9" s="8" t="s">
        <v>573</v>
      </c>
      <c r="B9" s="4" t="s">
        <v>567</v>
      </c>
      <c r="C9" s="3" t="s">
        <v>571</v>
      </c>
      <c r="D9" s="3" t="s">
        <v>574</v>
      </c>
      <c r="E9" s="4" t="s">
        <v>561</v>
      </c>
    </row>
    <row r="10" spans="1:5" x14ac:dyDescent="0.3">
      <c r="A10" s="8" t="s">
        <v>575</v>
      </c>
      <c r="B10" s="4" t="s">
        <v>567</v>
      </c>
      <c r="C10" s="3" t="s">
        <v>576</v>
      </c>
      <c r="D10" s="3" t="s">
        <v>577</v>
      </c>
      <c r="E10" s="4" t="s">
        <v>561</v>
      </c>
    </row>
    <row r="11" spans="1:5" x14ac:dyDescent="0.3">
      <c r="A11" s="8" t="s">
        <v>578</v>
      </c>
      <c r="B11" s="4" t="s">
        <v>567</v>
      </c>
      <c r="C11" s="3" t="s">
        <v>579</v>
      </c>
      <c r="D11" s="3" t="s">
        <v>580</v>
      </c>
      <c r="E11" s="4" t="s">
        <v>561</v>
      </c>
    </row>
    <row r="12" spans="1:5" x14ac:dyDescent="0.3">
      <c r="A12" s="8" t="s">
        <v>581</v>
      </c>
      <c r="B12" s="4" t="s">
        <v>567</v>
      </c>
      <c r="C12" s="3" t="s">
        <v>559</v>
      </c>
      <c r="D12" s="3" t="s">
        <v>582</v>
      </c>
      <c r="E12" s="4" t="s">
        <v>561</v>
      </c>
    </row>
    <row r="13" spans="1:5" x14ac:dyDescent="0.3">
      <c r="A13" s="8" t="s">
        <v>583</v>
      </c>
      <c r="B13" s="4" t="s">
        <v>558</v>
      </c>
      <c r="C13" s="3" t="s">
        <v>584</v>
      </c>
      <c r="D13" s="3" t="s">
        <v>585</v>
      </c>
      <c r="E13" s="4" t="s">
        <v>561</v>
      </c>
    </row>
    <row r="14" spans="1:5" x14ac:dyDescent="0.3">
      <c r="A14" s="8" t="s">
        <v>586</v>
      </c>
      <c r="B14" s="4" t="s">
        <v>563</v>
      </c>
      <c r="C14" s="3" t="s">
        <v>587</v>
      </c>
      <c r="D14" s="3" t="s">
        <v>588</v>
      </c>
      <c r="E14" s="4" t="s">
        <v>561</v>
      </c>
    </row>
    <row r="15" spans="1:5" x14ac:dyDescent="0.3">
      <c r="A15" s="8" t="s">
        <v>589</v>
      </c>
      <c r="B15" s="4" t="s">
        <v>567</v>
      </c>
      <c r="C15" s="3" t="s">
        <v>590</v>
      </c>
      <c r="D15" s="3" t="s">
        <v>591</v>
      </c>
      <c r="E15" s="4" t="s">
        <v>561</v>
      </c>
    </row>
    <row r="16" spans="1:5" x14ac:dyDescent="0.3">
      <c r="A16" s="8" t="s">
        <v>592</v>
      </c>
      <c r="B16" s="4" t="s">
        <v>567</v>
      </c>
      <c r="C16" s="3" t="s">
        <v>593</v>
      </c>
      <c r="D16" s="3" t="s">
        <v>594</v>
      </c>
      <c r="E16" s="4" t="s">
        <v>561</v>
      </c>
    </row>
    <row r="17" spans="1:5" x14ac:dyDescent="0.3">
      <c r="A17" s="8" t="s">
        <v>595</v>
      </c>
      <c r="B17" s="4" t="s">
        <v>558</v>
      </c>
      <c r="C17" s="3" t="s">
        <v>596</v>
      </c>
      <c r="D17" s="3" t="s">
        <v>597</v>
      </c>
      <c r="E17" s="4" t="s">
        <v>561</v>
      </c>
    </row>
    <row r="18" spans="1:5" x14ac:dyDescent="0.3">
      <c r="A18" s="8" t="s">
        <v>598</v>
      </c>
      <c r="B18" s="4" t="s">
        <v>558</v>
      </c>
      <c r="C18" s="3" t="s">
        <v>599</v>
      </c>
      <c r="D18" s="3" t="s">
        <v>600</v>
      </c>
      <c r="E18" s="4" t="s">
        <v>561</v>
      </c>
    </row>
    <row r="19" spans="1:5" x14ac:dyDescent="0.3">
      <c r="A19" s="8" t="s">
        <v>601</v>
      </c>
      <c r="B19" s="4" t="s">
        <v>558</v>
      </c>
      <c r="C19" s="3" t="s">
        <v>602</v>
      </c>
      <c r="D19" s="3" t="s">
        <v>603</v>
      </c>
      <c r="E19" s="4" t="s">
        <v>604</v>
      </c>
    </row>
    <row r="20" spans="1:5" x14ac:dyDescent="0.3">
      <c r="A20" s="8" t="s">
        <v>605</v>
      </c>
      <c r="B20" s="4" t="s">
        <v>606</v>
      </c>
      <c r="C20" s="3" t="s">
        <v>607</v>
      </c>
      <c r="D20" s="3" t="s">
        <v>608</v>
      </c>
      <c r="E20" s="4" t="s">
        <v>604</v>
      </c>
    </row>
    <row r="21" spans="1:5" x14ac:dyDescent="0.3">
      <c r="A21" s="8" t="s">
        <v>609</v>
      </c>
      <c r="B21" s="4" t="s">
        <v>610</v>
      </c>
      <c r="C21" s="3" t="s">
        <v>611</v>
      </c>
      <c r="D21" s="3" t="s">
        <v>612</v>
      </c>
      <c r="E21" s="4" t="s">
        <v>604</v>
      </c>
    </row>
    <row r="22" spans="1:5" x14ac:dyDescent="0.3">
      <c r="A22" s="8" t="s">
        <v>613</v>
      </c>
      <c r="B22" s="4" t="s">
        <v>614</v>
      </c>
      <c r="C22" s="3" t="s">
        <v>615</v>
      </c>
      <c r="D22" s="3" t="s">
        <v>616</v>
      </c>
      <c r="E22" s="4" t="s">
        <v>604</v>
      </c>
    </row>
  </sheetData>
  <mergeCells count="1">
    <mergeCell ref="A2:E2"/>
  </mergeCells>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20"/>
  <sheetViews>
    <sheetView workbookViewId="0">
      <pane ySplit="4" topLeftCell="A5" activePane="bottomLeft" state="frozen"/>
      <selection pane="bottomLeft"/>
    </sheetView>
  </sheetViews>
  <sheetFormatPr defaultColWidth="8.6640625" defaultRowHeight="14.4" x14ac:dyDescent="0.3"/>
  <cols>
    <col min="1" max="1" width="8" customWidth="1"/>
    <col min="2" max="2" width="28" customWidth="1"/>
    <col min="3" max="3" width="95" customWidth="1"/>
    <col min="4" max="4" width="38" customWidth="1"/>
  </cols>
  <sheetData>
    <row r="1" spans="1:4" ht="18" customHeight="1" x14ac:dyDescent="0.3">
      <c r="A1" s="7" t="s">
        <v>617</v>
      </c>
    </row>
    <row r="2" spans="1:4" ht="30" customHeight="1" x14ac:dyDescent="0.3">
      <c r="A2" s="26" t="s">
        <v>618</v>
      </c>
      <c r="B2" s="27"/>
      <c r="C2" s="27"/>
      <c r="D2" s="27"/>
    </row>
    <row r="4" spans="1:4" ht="25.95" customHeight="1" x14ac:dyDescent="0.3">
      <c r="A4" s="1" t="s">
        <v>619</v>
      </c>
      <c r="B4" s="1" t="s">
        <v>620</v>
      </c>
      <c r="C4" s="1" t="s">
        <v>621</v>
      </c>
      <c r="D4" s="1" t="s">
        <v>622</v>
      </c>
    </row>
    <row r="5" spans="1:4" ht="25.05" customHeight="1" x14ac:dyDescent="0.3">
      <c r="A5" s="2" t="s">
        <v>34</v>
      </c>
      <c r="B5" s="8" t="s">
        <v>623</v>
      </c>
      <c r="C5" s="3" t="s">
        <v>624</v>
      </c>
      <c r="D5" s="5"/>
    </row>
    <row r="6" spans="1:4" x14ac:dyDescent="0.3">
      <c r="A6" s="2" t="s">
        <v>50</v>
      </c>
      <c r="B6" s="8" t="s">
        <v>625</v>
      </c>
      <c r="C6" s="3" t="s">
        <v>626</v>
      </c>
      <c r="D6" s="5"/>
    </row>
    <row r="7" spans="1:4" ht="25.05" customHeight="1" x14ac:dyDescent="0.3">
      <c r="A7" s="2" t="s">
        <v>71</v>
      </c>
      <c r="B7" s="8" t="s">
        <v>627</v>
      </c>
      <c r="C7" s="3" t="s">
        <v>628</v>
      </c>
      <c r="D7" s="5"/>
    </row>
    <row r="8" spans="1:4" ht="25.05" customHeight="1" x14ac:dyDescent="0.3">
      <c r="A8" s="2" t="s">
        <v>99</v>
      </c>
      <c r="B8" s="8" t="s">
        <v>629</v>
      </c>
      <c r="C8" s="3" t="s">
        <v>630</v>
      </c>
      <c r="D8" s="5"/>
    </row>
    <row r="9" spans="1:4" ht="25.05" customHeight="1" x14ac:dyDescent="0.3">
      <c r="A9" s="2" t="s">
        <v>126</v>
      </c>
      <c r="B9" s="8" t="s">
        <v>631</v>
      </c>
      <c r="C9" s="3" t="s">
        <v>632</v>
      </c>
      <c r="D9" s="5"/>
    </row>
    <row r="10" spans="1:4" x14ac:dyDescent="0.3">
      <c r="A10" s="2" t="s">
        <v>633</v>
      </c>
      <c r="B10" s="8" t="s">
        <v>634</v>
      </c>
      <c r="C10" s="3" t="s">
        <v>635</v>
      </c>
      <c r="D10" s="5"/>
    </row>
    <row r="11" spans="1:4" ht="25.05" customHeight="1" x14ac:dyDescent="0.3">
      <c r="A11" s="2" t="s">
        <v>207</v>
      </c>
      <c r="B11" s="8" t="s">
        <v>636</v>
      </c>
      <c r="C11" s="3" t="s">
        <v>637</v>
      </c>
      <c r="D11" s="5"/>
    </row>
    <row r="12" spans="1:4" ht="25.05" customHeight="1" x14ac:dyDescent="0.3">
      <c r="A12" s="2" t="s">
        <v>192</v>
      </c>
      <c r="B12" s="8" t="s">
        <v>638</v>
      </c>
      <c r="C12" s="3" t="s">
        <v>639</v>
      </c>
      <c r="D12" s="5"/>
    </row>
    <row r="13" spans="1:4" ht="25.05" customHeight="1" x14ac:dyDescent="0.3">
      <c r="A13" s="2" t="s">
        <v>250</v>
      </c>
      <c r="B13" s="8" t="s">
        <v>640</v>
      </c>
      <c r="C13" s="3" t="s">
        <v>641</v>
      </c>
      <c r="D13" s="5"/>
    </row>
    <row r="14" spans="1:4" x14ac:dyDescent="0.3">
      <c r="A14" s="2" t="s">
        <v>221</v>
      </c>
      <c r="B14" s="8" t="s">
        <v>642</v>
      </c>
      <c r="C14" s="3" t="s">
        <v>643</v>
      </c>
      <c r="D14" s="5"/>
    </row>
    <row r="15" spans="1:4" ht="25.95" customHeight="1" x14ac:dyDescent="0.3">
      <c r="A15" s="2" t="s">
        <v>179</v>
      </c>
      <c r="B15" s="8" t="s">
        <v>644</v>
      </c>
      <c r="C15" s="3" t="s">
        <v>645</v>
      </c>
      <c r="D15" s="5"/>
    </row>
    <row r="16" spans="1:4" ht="25.05" customHeight="1" x14ac:dyDescent="0.3">
      <c r="A16" s="2" t="s">
        <v>280</v>
      </c>
      <c r="B16" s="8" t="s">
        <v>646</v>
      </c>
      <c r="C16" s="3" t="s">
        <v>647</v>
      </c>
      <c r="D16" s="5"/>
    </row>
    <row r="17" spans="1:4" ht="37.5" customHeight="1" x14ac:dyDescent="0.3">
      <c r="A17" s="2" t="s">
        <v>648</v>
      </c>
      <c r="B17" s="8" t="s">
        <v>649</v>
      </c>
      <c r="C17" s="3" t="s">
        <v>650</v>
      </c>
      <c r="D17" s="5"/>
    </row>
    <row r="18" spans="1:4" ht="25.05" customHeight="1" x14ac:dyDescent="0.3">
      <c r="A18" s="2" t="s">
        <v>165</v>
      </c>
      <c r="B18" s="8" t="s">
        <v>651</v>
      </c>
      <c r="C18" s="3" t="s">
        <v>652</v>
      </c>
      <c r="D18" s="5"/>
    </row>
    <row r="19" spans="1:4" ht="25.05" customHeight="1" x14ac:dyDescent="0.3">
      <c r="A19" s="2" t="s">
        <v>653</v>
      </c>
      <c r="B19" s="8" t="s">
        <v>654</v>
      </c>
      <c r="C19" s="3" t="s">
        <v>655</v>
      </c>
      <c r="D19" s="5"/>
    </row>
    <row r="20" spans="1:4" x14ac:dyDescent="0.3">
      <c r="A20" s="2" t="s">
        <v>313</v>
      </c>
      <c r="B20" s="8" t="s">
        <v>656</v>
      </c>
      <c r="C20" s="3" t="s">
        <v>657</v>
      </c>
      <c r="D20" s="5"/>
    </row>
  </sheetData>
  <mergeCells count="1">
    <mergeCell ref="A2:D2"/>
  </mergeCells>
  <pageMargins left="0.75" right="0.75" top="1" bottom="1"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1"/>
  <sheetViews>
    <sheetView zoomScale="84" zoomScaleNormal="84" workbookViewId="0">
      <pane xSplit="3" ySplit="1" topLeftCell="I26" activePane="bottomRight" state="frozen"/>
      <selection pane="topRight"/>
      <selection pane="bottomLeft"/>
      <selection pane="bottomRight" activeCell="M9" sqref="M9"/>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12.5" customHeight="1" x14ac:dyDescent="0.3">
      <c r="A2" s="2" t="s">
        <v>658</v>
      </c>
      <c r="B2" s="3" t="s">
        <v>14</v>
      </c>
      <c r="C2" s="3" t="s">
        <v>15</v>
      </c>
      <c r="D2" s="3" t="s">
        <v>16</v>
      </c>
      <c r="E2" s="4" t="s">
        <v>17</v>
      </c>
      <c r="F2" s="3" t="s">
        <v>659</v>
      </c>
      <c r="G2" s="3" t="s">
        <v>19</v>
      </c>
      <c r="H2" s="3" t="s">
        <v>660</v>
      </c>
      <c r="I2" s="3" t="s">
        <v>21</v>
      </c>
      <c r="J2" s="4" t="s">
        <v>22</v>
      </c>
      <c r="K2" s="5" t="s">
        <v>661</v>
      </c>
      <c r="L2" s="6" t="s">
        <v>662</v>
      </c>
      <c r="M2" s="5" t="s">
        <v>36</v>
      </c>
    </row>
    <row r="3" spans="1:13" ht="37.5" customHeight="1" x14ac:dyDescent="0.3">
      <c r="A3" s="2" t="s">
        <v>663</v>
      </c>
      <c r="B3" s="3" t="s">
        <v>27</v>
      </c>
      <c r="C3" s="3" t="s">
        <v>28</v>
      </c>
      <c r="D3" s="3" t="s">
        <v>29</v>
      </c>
      <c r="E3" s="4" t="s">
        <v>17</v>
      </c>
      <c r="F3" s="3" t="s">
        <v>664</v>
      </c>
      <c r="G3" s="3" t="s">
        <v>31</v>
      </c>
      <c r="H3" s="3" t="s">
        <v>32</v>
      </c>
      <c r="I3" s="3" t="s">
        <v>33</v>
      </c>
      <c r="J3" s="4" t="s">
        <v>34</v>
      </c>
      <c r="K3" s="5" t="s">
        <v>665</v>
      </c>
      <c r="L3" s="6" t="s">
        <v>24</v>
      </c>
      <c r="M3" s="5" t="s">
        <v>36</v>
      </c>
    </row>
    <row r="4" spans="1:13" ht="100.05" customHeight="1" x14ac:dyDescent="0.3">
      <c r="A4" s="2" t="s">
        <v>666</v>
      </c>
      <c r="B4" s="3" t="s">
        <v>27</v>
      </c>
      <c r="C4" s="3" t="s">
        <v>38</v>
      </c>
      <c r="D4" s="3" t="s">
        <v>29</v>
      </c>
      <c r="E4" s="4" t="s">
        <v>17</v>
      </c>
      <c r="F4" s="3" t="s">
        <v>664</v>
      </c>
      <c r="G4" s="3" t="s">
        <v>39</v>
      </c>
      <c r="H4" s="3" t="s">
        <v>667</v>
      </c>
      <c r="I4" s="3" t="s">
        <v>41</v>
      </c>
      <c r="J4" s="4" t="s">
        <v>34</v>
      </c>
      <c r="K4" s="5" t="s">
        <v>668</v>
      </c>
      <c r="L4" s="6" t="s">
        <v>24</v>
      </c>
      <c r="M4" s="5" t="s">
        <v>36</v>
      </c>
    </row>
    <row r="5" spans="1:13" ht="37.5" customHeight="1" x14ac:dyDescent="0.3">
      <c r="A5" s="2" t="s">
        <v>669</v>
      </c>
      <c r="B5" s="3" t="s">
        <v>44</v>
      </c>
      <c r="C5" s="3" t="s">
        <v>45</v>
      </c>
      <c r="D5" s="3" t="s">
        <v>29</v>
      </c>
      <c r="E5" s="4" t="s">
        <v>46</v>
      </c>
      <c r="F5" s="3" t="s">
        <v>664</v>
      </c>
      <c r="G5" s="3" t="s">
        <v>47</v>
      </c>
      <c r="H5" s="3" t="s">
        <v>670</v>
      </c>
      <c r="I5" s="3" t="s">
        <v>49</v>
      </c>
      <c r="J5" s="4" t="s">
        <v>50</v>
      </c>
      <c r="K5" s="5" t="s">
        <v>671</v>
      </c>
      <c r="L5" s="6" t="s">
        <v>24</v>
      </c>
      <c r="M5" s="5" t="s">
        <v>36</v>
      </c>
    </row>
    <row r="6" spans="1:13" ht="49.95" customHeight="1" x14ac:dyDescent="0.3">
      <c r="A6" s="2" t="s">
        <v>672</v>
      </c>
      <c r="B6" s="3" t="s">
        <v>44</v>
      </c>
      <c r="C6" s="3" t="s">
        <v>53</v>
      </c>
      <c r="D6" s="3" t="s">
        <v>29</v>
      </c>
      <c r="E6" s="4" t="s">
        <v>54</v>
      </c>
      <c r="F6" s="3" t="s">
        <v>659</v>
      </c>
      <c r="G6" s="3" t="s">
        <v>47</v>
      </c>
      <c r="H6" s="3" t="s">
        <v>673</v>
      </c>
      <c r="I6" s="3" t="s">
        <v>56</v>
      </c>
      <c r="J6" s="4" t="s">
        <v>50</v>
      </c>
      <c r="K6" s="5" t="s">
        <v>674</v>
      </c>
      <c r="L6" s="6" t="s">
        <v>24</v>
      </c>
      <c r="M6" s="5" t="s">
        <v>36</v>
      </c>
    </row>
    <row r="7" spans="1:13" ht="75" customHeight="1" x14ac:dyDescent="0.3">
      <c r="A7" s="2" t="s">
        <v>675</v>
      </c>
      <c r="B7" s="3" t="s">
        <v>44</v>
      </c>
      <c r="C7" s="3" t="s">
        <v>59</v>
      </c>
      <c r="D7" s="3" t="s">
        <v>60</v>
      </c>
      <c r="E7" s="4" t="s">
        <v>46</v>
      </c>
      <c r="F7" s="3" t="s">
        <v>659</v>
      </c>
      <c r="G7" s="3" t="s">
        <v>61</v>
      </c>
      <c r="H7" s="3" t="s">
        <v>676</v>
      </c>
      <c r="I7" s="3" t="s">
        <v>63</v>
      </c>
      <c r="J7" s="4" t="s">
        <v>50</v>
      </c>
      <c r="K7" s="5" t="s">
        <v>677</v>
      </c>
      <c r="L7" s="6" t="s">
        <v>24</v>
      </c>
      <c r="M7" s="5" t="s">
        <v>25</v>
      </c>
    </row>
    <row r="8" spans="1:13" ht="62.55" customHeight="1" x14ac:dyDescent="0.3">
      <c r="A8" s="2" t="s">
        <v>678</v>
      </c>
      <c r="B8" s="3" t="s">
        <v>385</v>
      </c>
      <c r="C8" s="3" t="s">
        <v>679</v>
      </c>
      <c r="D8" s="3" t="s">
        <v>60</v>
      </c>
      <c r="E8" s="4" t="s">
        <v>17</v>
      </c>
      <c r="F8" s="3" t="s">
        <v>659</v>
      </c>
      <c r="G8" s="3" t="s">
        <v>680</v>
      </c>
      <c r="H8" s="3" t="str">
        <f ca="1">"Born "&amp;TEXT(EDATE(TODAY(),-216)+1,"mm/dd/yyyy")&amp;" (17 years old, reject)"&amp;CHAR(10)&amp;"Born "&amp;TEXT(EDATE(TODAY(),-216),"mm/dd/yyyy")&amp;" (turns 18 today, accept)"&amp;CHAR(10)&amp;"Born "&amp;TEXT(EDATE(TODAY(),-216)-1,"mm/dd/yyyy")&amp;" (18 years and 1 day, accept)"</f>
        <v>Born 10/15/2008 (17 years old, reject)
Born 10/14/2008 (turns 18 today, accept)
Born 10/13/2008 (18 years and 1 day, accept)</v>
      </c>
      <c r="I8" s="3" t="s">
        <v>681</v>
      </c>
      <c r="J8" s="4" t="s">
        <v>633</v>
      </c>
      <c r="K8" s="5" t="s">
        <v>682</v>
      </c>
      <c r="L8" s="6" t="s">
        <v>24</v>
      </c>
      <c r="M8" s="5" t="s">
        <v>36</v>
      </c>
    </row>
    <row r="9" spans="1:13" ht="37.5" customHeight="1" x14ac:dyDescent="0.3">
      <c r="A9" s="2" t="s">
        <v>683</v>
      </c>
      <c r="B9" s="3" t="s">
        <v>385</v>
      </c>
      <c r="C9" s="3" t="s">
        <v>684</v>
      </c>
      <c r="D9" s="3" t="s">
        <v>29</v>
      </c>
      <c r="E9" s="4" t="s">
        <v>46</v>
      </c>
      <c r="F9" s="3" t="s">
        <v>664</v>
      </c>
      <c r="G9" s="3" t="s">
        <v>685</v>
      </c>
      <c r="H9" s="3" t="str">
        <f ca="1">"Date of Birth: "&amp;TEXT(TODAY()+1,"mm/dd/yyyy")&amp;" (tomorrow)"</f>
        <v>Date of Birth: 10/15/2026 (tomorrow)</v>
      </c>
      <c r="I9" s="3" t="s">
        <v>686</v>
      </c>
      <c r="J9" s="4" t="s">
        <v>633</v>
      </c>
      <c r="K9" s="5" t="s">
        <v>687</v>
      </c>
      <c r="L9" s="6" t="s">
        <v>24</v>
      </c>
      <c r="M9" s="5" t="s">
        <v>36</v>
      </c>
    </row>
    <row r="10" spans="1:13" ht="75" customHeight="1" x14ac:dyDescent="0.3">
      <c r="A10" s="2" t="s">
        <v>688</v>
      </c>
      <c r="B10" s="3" t="s">
        <v>66</v>
      </c>
      <c r="C10" s="3" t="s">
        <v>67</v>
      </c>
      <c r="D10" s="3" t="s">
        <v>29</v>
      </c>
      <c r="E10" s="4" t="s">
        <v>17</v>
      </c>
      <c r="F10" s="3" t="s">
        <v>664</v>
      </c>
      <c r="G10" s="3" t="s">
        <v>68</v>
      </c>
      <c r="H10" s="3" t="s">
        <v>689</v>
      </c>
      <c r="I10" s="3" t="s">
        <v>70</v>
      </c>
      <c r="J10" s="4" t="s">
        <v>71</v>
      </c>
      <c r="K10" s="5" t="s">
        <v>690</v>
      </c>
      <c r="L10" s="6" t="s">
        <v>24</v>
      </c>
      <c r="M10" s="5" t="s">
        <v>36</v>
      </c>
    </row>
    <row r="11" spans="1:13" ht="49.95" customHeight="1" x14ac:dyDescent="0.3">
      <c r="A11" s="2" t="s">
        <v>350</v>
      </c>
      <c r="B11" s="3" t="s">
        <v>66</v>
      </c>
      <c r="C11" s="3" t="s">
        <v>74</v>
      </c>
      <c r="D11" s="3" t="s">
        <v>29</v>
      </c>
      <c r="E11" s="4" t="s">
        <v>17</v>
      </c>
      <c r="F11" s="3" t="s">
        <v>691</v>
      </c>
      <c r="G11" s="3" t="s">
        <v>76</v>
      </c>
      <c r="H11" s="3" t="s">
        <v>692</v>
      </c>
      <c r="I11" s="3" t="s">
        <v>78</v>
      </c>
      <c r="J11" s="4" t="s">
        <v>71</v>
      </c>
      <c r="K11" s="5" t="s">
        <v>693</v>
      </c>
      <c r="L11" s="6" t="s">
        <v>24</v>
      </c>
      <c r="M11" s="5" t="s">
        <v>36</v>
      </c>
    </row>
    <row r="12" spans="1:13" ht="49.95" customHeight="1" x14ac:dyDescent="0.3">
      <c r="A12" s="2" t="s">
        <v>694</v>
      </c>
      <c r="B12" s="3" t="s">
        <v>66</v>
      </c>
      <c r="C12" s="3" t="s">
        <v>81</v>
      </c>
      <c r="D12" s="3" t="s">
        <v>82</v>
      </c>
      <c r="E12" s="4" t="s">
        <v>46</v>
      </c>
      <c r="F12" s="3" t="s">
        <v>691</v>
      </c>
      <c r="G12" s="3" t="s">
        <v>83</v>
      </c>
      <c r="H12" s="3" t="s">
        <v>695</v>
      </c>
      <c r="I12" s="3" t="s">
        <v>85</v>
      </c>
      <c r="J12" s="4" t="s">
        <v>71</v>
      </c>
      <c r="K12" s="5" t="s">
        <v>696</v>
      </c>
      <c r="L12" s="6" t="s">
        <v>24</v>
      </c>
      <c r="M12" s="5" t="s">
        <v>36</v>
      </c>
    </row>
    <row r="13" spans="1:13" ht="49.95" customHeight="1" x14ac:dyDescent="0.3">
      <c r="A13" s="2" t="s">
        <v>697</v>
      </c>
      <c r="B13" s="3" t="s">
        <v>66</v>
      </c>
      <c r="C13" s="3" t="s">
        <v>88</v>
      </c>
      <c r="D13" s="3" t="s">
        <v>82</v>
      </c>
      <c r="E13" s="4" t="s">
        <v>54</v>
      </c>
      <c r="F13" s="3" t="s">
        <v>659</v>
      </c>
      <c r="G13" s="3" t="s">
        <v>89</v>
      </c>
      <c r="H13" s="3" t="s">
        <v>698</v>
      </c>
      <c r="I13" s="3" t="s">
        <v>699</v>
      </c>
      <c r="J13" s="4" t="s">
        <v>71</v>
      </c>
      <c r="K13" s="5" t="s">
        <v>700</v>
      </c>
      <c r="L13" s="6" t="s">
        <v>24</v>
      </c>
      <c r="M13" s="5" t="s">
        <v>36</v>
      </c>
    </row>
    <row r="14" spans="1:13" ht="49.95" customHeight="1" x14ac:dyDescent="0.3">
      <c r="A14" s="2" t="s">
        <v>701</v>
      </c>
      <c r="B14" s="3" t="s">
        <v>94</v>
      </c>
      <c r="C14" s="3" t="s">
        <v>95</v>
      </c>
      <c r="D14" s="3" t="s">
        <v>29</v>
      </c>
      <c r="E14" s="4" t="s">
        <v>17</v>
      </c>
      <c r="F14" s="3" t="s">
        <v>664</v>
      </c>
      <c r="G14" s="3" t="s">
        <v>96</v>
      </c>
      <c r="H14" s="3" t="s">
        <v>97</v>
      </c>
      <c r="I14" s="3" t="s">
        <v>98</v>
      </c>
      <c r="J14" s="4" t="s">
        <v>99</v>
      </c>
      <c r="K14" s="5" t="s">
        <v>702</v>
      </c>
      <c r="L14" s="6" t="s">
        <v>24</v>
      </c>
      <c r="M14" s="5" t="s">
        <v>36</v>
      </c>
    </row>
    <row r="15" spans="1:13" ht="49.95" customHeight="1" x14ac:dyDescent="0.3">
      <c r="A15" s="2" t="s">
        <v>703</v>
      </c>
      <c r="B15" s="3" t="s">
        <v>94</v>
      </c>
      <c r="C15" s="3" t="s">
        <v>102</v>
      </c>
      <c r="D15" s="3" t="s">
        <v>60</v>
      </c>
      <c r="E15" s="4" t="s">
        <v>17</v>
      </c>
      <c r="F15" s="3" t="s">
        <v>659</v>
      </c>
      <c r="G15" s="3" t="s">
        <v>96</v>
      </c>
      <c r="H15" s="3" t="s">
        <v>103</v>
      </c>
      <c r="I15" s="3" t="s">
        <v>104</v>
      </c>
      <c r="J15" s="4" t="s">
        <v>99</v>
      </c>
      <c r="K15" s="5" t="s">
        <v>704</v>
      </c>
      <c r="L15" s="6" t="s">
        <v>24</v>
      </c>
      <c r="M15" s="5" t="s">
        <v>36</v>
      </c>
    </row>
    <row r="16" spans="1:13" ht="37.5" customHeight="1" x14ac:dyDescent="0.3">
      <c r="A16" s="2" t="s">
        <v>705</v>
      </c>
      <c r="B16" s="3" t="s">
        <v>94</v>
      </c>
      <c r="C16" s="3" t="s">
        <v>107</v>
      </c>
      <c r="D16" s="3" t="s">
        <v>29</v>
      </c>
      <c r="E16" s="4" t="s">
        <v>46</v>
      </c>
      <c r="F16" s="3" t="s">
        <v>706</v>
      </c>
      <c r="G16" s="3" t="s">
        <v>109</v>
      </c>
      <c r="H16" s="3" t="s">
        <v>707</v>
      </c>
      <c r="I16" s="3" t="s">
        <v>111</v>
      </c>
      <c r="J16" s="4" t="s">
        <v>99</v>
      </c>
      <c r="K16" s="5" t="s">
        <v>708</v>
      </c>
      <c r="L16" s="6" t="s">
        <v>24</v>
      </c>
      <c r="M16" s="5" t="s">
        <v>25</v>
      </c>
    </row>
    <row r="17" spans="1:13" ht="37.5" customHeight="1" x14ac:dyDescent="0.3">
      <c r="A17" s="2" t="s">
        <v>709</v>
      </c>
      <c r="B17" s="3" t="s">
        <v>94</v>
      </c>
      <c r="C17" s="3" t="s">
        <v>115</v>
      </c>
      <c r="D17" s="3" t="s">
        <v>82</v>
      </c>
      <c r="E17" s="4" t="s">
        <v>46</v>
      </c>
      <c r="F17" s="3" t="s">
        <v>706</v>
      </c>
      <c r="G17" s="3" t="s">
        <v>116</v>
      </c>
      <c r="H17" s="3" t="s">
        <v>710</v>
      </c>
      <c r="I17" s="3" t="s">
        <v>118</v>
      </c>
      <c r="J17" s="4" t="s">
        <v>99</v>
      </c>
      <c r="K17" s="5" t="s">
        <v>711</v>
      </c>
      <c r="L17" s="6" t="s">
        <v>24</v>
      </c>
      <c r="M17" s="5" t="s">
        <v>25</v>
      </c>
    </row>
    <row r="18" spans="1:13" ht="49.95" customHeight="1" x14ac:dyDescent="0.3">
      <c r="A18" s="2" t="s">
        <v>712</v>
      </c>
      <c r="B18" s="3" t="s">
        <v>121</v>
      </c>
      <c r="C18" s="3" t="s">
        <v>122</v>
      </c>
      <c r="D18" s="3" t="s">
        <v>60</v>
      </c>
      <c r="E18" s="4" t="s">
        <v>17</v>
      </c>
      <c r="F18" s="3" t="s">
        <v>659</v>
      </c>
      <c r="G18" s="3" t="s">
        <v>123</v>
      </c>
      <c r="H18" s="3" t="s">
        <v>713</v>
      </c>
      <c r="I18" s="3" t="s">
        <v>125</v>
      </c>
      <c r="J18" s="4" t="s">
        <v>126</v>
      </c>
      <c r="K18" s="5" t="s">
        <v>714</v>
      </c>
      <c r="L18" s="6" t="s">
        <v>24</v>
      </c>
      <c r="M18" s="5" t="s">
        <v>36</v>
      </c>
    </row>
    <row r="19" spans="1:13" ht="49.95" customHeight="1" x14ac:dyDescent="0.3">
      <c r="A19" s="2" t="s">
        <v>715</v>
      </c>
      <c r="B19" s="3" t="s">
        <v>121</v>
      </c>
      <c r="C19" s="3" t="s">
        <v>129</v>
      </c>
      <c r="D19" s="3" t="s">
        <v>130</v>
      </c>
      <c r="E19" s="4" t="s">
        <v>17</v>
      </c>
      <c r="F19" s="3" t="s">
        <v>664</v>
      </c>
      <c r="G19" s="3" t="s">
        <v>123</v>
      </c>
      <c r="H19" s="3" t="s">
        <v>716</v>
      </c>
      <c r="I19" s="3" t="s">
        <v>132</v>
      </c>
      <c r="J19" s="4" t="s">
        <v>126</v>
      </c>
      <c r="K19" s="5" t="s">
        <v>717</v>
      </c>
      <c r="L19" s="6" t="s">
        <v>24</v>
      </c>
      <c r="M19" s="5" t="s">
        <v>25</v>
      </c>
    </row>
    <row r="20" spans="1:13" ht="49.95" customHeight="1" x14ac:dyDescent="0.3">
      <c r="A20" s="2" t="s">
        <v>718</v>
      </c>
      <c r="B20" s="3" t="s">
        <v>121</v>
      </c>
      <c r="C20" s="3" t="s">
        <v>135</v>
      </c>
      <c r="D20" s="3" t="s">
        <v>29</v>
      </c>
      <c r="E20" s="4" t="s">
        <v>17</v>
      </c>
      <c r="F20" s="3" t="s">
        <v>664</v>
      </c>
      <c r="G20" s="3" t="s">
        <v>136</v>
      </c>
      <c r="H20" s="3" t="s">
        <v>719</v>
      </c>
      <c r="I20" s="3" t="s">
        <v>138</v>
      </c>
      <c r="J20" s="4" t="s">
        <v>126</v>
      </c>
      <c r="K20" s="5" t="s">
        <v>720</v>
      </c>
      <c r="L20" s="6" t="s">
        <v>24</v>
      </c>
      <c r="M20" s="5" t="s">
        <v>36</v>
      </c>
    </row>
    <row r="21" spans="1:13" ht="25.05" customHeight="1" x14ac:dyDescent="0.3">
      <c r="A21" s="2" t="s">
        <v>721</v>
      </c>
      <c r="B21" s="3" t="s">
        <v>121</v>
      </c>
      <c r="C21" s="3" t="s">
        <v>141</v>
      </c>
      <c r="D21" s="3" t="s">
        <v>82</v>
      </c>
      <c r="E21" s="4" t="s">
        <v>54</v>
      </c>
      <c r="F21" s="3" t="s">
        <v>664</v>
      </c>
      <c r="G21" s="3" t="s">
        <v>142</v>
      </c>
      <c r="H21" s="3" t="s">
        <v>722</v>
      </c>
      <c r="I21" s="3" t="s">
        <v>144</v>
      </c>
      <c r="J21" s="4" t="s">
        <v>126</v>
      </c>
      <c r="K21" s="5" t="s">
        <v>723</v>
      </c>
      <c r="L21" s="6" t="s">
        <v>24</v>
      </c>
      <c r="M21" s="5" t="s">
        <v>36</v>
      </c>
    </row>
    <row r="22" spans="1:13" ht="49.95" customHeight="1" x14ac:dyDescent="0.3">
      <c r="A22" s="2" t="s">
        <v>724</v>
      </c>
      <c r="B22" s="3" t="s">
        <v>147</v>
      </c>
      <c r="C22" s="3" t="s">
        <v>148</v>
      </c>
      <c r="D22" s="3" t="s">
        <v>29</v>
      </c>
      <c r="E22" s="4" t="s">
        <v>46</v>
      </c>
      <c r="F22" s="3" t="s">
        <v>664</v>
      </c>
      <c r="G22" s="3" t="s">
        <v>149</v>
      </c>
      <c r="H22" s="3" t="s">
        <v>150</v>
      </c>
      <c r="I22" s="3" t="s">
        <v>151</v>
      </c>
      <c r="J22" s="4" t="s">
        <v>34</v>
      </c>
      <c r="K22" s="5" t="s">
        <v>725</v>
      </c>
      <c r="L22" s="6" t="s">
        <v>662</v>
      </c>
      <c r="M22" s="5" t="s">
        <v>25</v>
      </c>
    </row>
    <row r="23" spans="1:13" ht="49.95" customHeight="1" x14ac:dyDescent="0.3">
      <c r="A23" s="2" t="s">
        <v>726</v>
      </c>
      <c r="B23" s="3" t="s">
        <v>14</v>
      </c>
      <c r="C23" s="3" t="s">
        <v>154</v>
      </c>
      <c r="D23" s="3" t="s">
        <v>82</v>
      </c>
      <c r="E23" s="4" t="s">
        <v>46</v>
      </c>
      <c r="F23" s="3" t="s">
        <v>659</v>
      </c>
      <c r="G23" s="3" t="s">
        <v>155</v>
      </c>
      <c r="H23" s="3" t="s">
        <v>156</v>
      </c>
      <c r="I23" s="3" t="s">
        <v>157</v>
      </c>
      <c r="J23" s="4" t="s">
        <v>71</v>
      </c>
      <c r="K23" s="5" t="s">
        <v>727</v>
      </c>
      <c r="L23" s="6" t="s">
        <v>662</v>
      </c>
      <c r="M23" s="5" t="s">
        <v>25</v>
      </c>
    </row>
    <row r="24" spans="1:13" ht="75" customHeight="1" x14ac:dyDescent="0.3">
      <c r="A24" s="2" t="s">
        <v>728</v>
      </c>
      <c r="B24" s="3" t="s">
        <v>236</v>
      </c>
      <c r="C24" s="3" t="s">
        <v>237</v>
      </c>
      <c r="D24" s="3" t="s">
        <v>238</v>
      </c>
      <c r="E24" s="4" t="s">
        <v>17</v>
      </c>
      <c r="F24" s="3" t="s">
        <v>729</v>
      </c>
      <c r="G24" s="3" t="s">
        <v>240</v>
      </c>
      <c r="H24" s="3" t="s">
        <v>241</v>
      </c>
      <c r="I24" s="3" t="s">
        <v>730</v>
      </c>
      <c r="J24" s="4" t="s">
        <v>243</v>
      </c>
      <c r="K24" s="5" t="s">
        <v>731</v>
      </c>
      <c r="L24" s="6" t="s">
        <v>662</v>
      </c>
      <c r="M24" s="5" t="s">
        <v>36</v>
      </c>
    </row>
    <row r="25" spans="1:13" ht="75" customHeight="1" x14ac:dyDescent="0.3">
      <c r="A25" s="2" t="s">
        <v>732</v>
      </c>
      <c r="B25" s="3" t="s">
        <v>236</v>
      </c>
      <c r="C25" s="3" t="s">
        <v>246</v>
      </c>
      <c r="D25" s="3" t="s">
        <v>29</v>
      </c>
      <c r="E25" s="4" t="s">
        <v>17</v>
      </c>
      <c r="F25" s="3" t="s">
        <v>729</v>
      </c>
      <c r="G25" s="3" t="s">
        <v>247</v>
      </c>
      <c r="H25" s="3" t="s">
        <v>248</v>
      </c>
      <c r="I25" s="3" t="s">
        <v>249</v>
      </c>
      <c r="J25" s="4" t="s">
        <v>250</v>
      </c>
      <c r="K25" s="5" t="s">
        <v>733</v>
      </c>
      <c r="L25" s="6" t="s">
        <v>662</v>
      </c>
      <c r="M25" s="5" t="s">
        <v>36</v>
      </c>
    </row>
    <row r="26" spans="1:13" ht="75" customHeight="1" x14ac:dyDescent="0.3">
      <c r="A26" s="2" t="s">
        <v>734</v>
      </c>
      <c r="B26" s="3" t="s">
        <v>236</v>
      </c>
      <c r="C26" s="3" t="s">
        <v>253</v>
      </c>
      <c r="D26" s="3" t="s">
        <v>29</v>
      </c>
      <c r="E26" s="4" t="s">
        <v>46</v>
      </c>
      <c r="F26" s="3" t="s">
        <v>729</v>
      </c>
      <c r="G26" s="3" t="s">
        <v>254</v>
      </c>
      <c r="H26" s="3" t="s">
        <v>255</v>
      </c>
      <c r="I26" s="3" t="s">
        <v>256</v>
      </c>
      <c r="J26" s="4" t="s">
        <v>250</v>
      </c>
      <c r="K26" s="5" t="s">
        <v>735</v>
      </c>
      <c r="L26" s="6" t="s">
        <v>662</v>
      </c>
      <c r="M26" s="5" t="s">
        <v>36</v>
      </c>
    </row>
    <row r="27" spans="1:13" ht="75" customHeight="1" x14ac:dyDescent="0.3">
      <c r="A27" s="2" t="s">
        <v>736</v>
      </c>
      <c r="B27" s="3" t="s">
        <v>236</v>
      </c>
      <c r="C27" s="3" t="s">
        <v>258</v>
      </c>
      <c r="D27" s="3" t="s">
        <v>60</v>
      </c>
      <c r="E27" s="4" t="s">
        <v>17</v>
      </c>
      <c r="F27" s="3" t="s">
        <v>729</v>
      </c>
      <c r="G27" s="3" t="s">
        <v>259</v>
      </c>
      <c r="H27" s="3" t="s">
        <v>260</v>
      </c>
      <c r="I27" s="3" t="s">
        <v>261</v>
      </c>
      <c r="J27" s="4" t="s">
        <v>250</v>
      </c>
      <c r="K27" s="5" t="s">
        <v>737</v>
      </c>
      <c r="L27" s="6" t="s">
        <v>662</v>
      </c>
      <c r="M27" s="5" t="s">
        <v>36</v>
      </c>
    </row>
    <row r="28" spans="1:13" ht="75" customHeight="1" x14ac:dyDescent="0.3">
      <c r="A28" s="2" t="s">
        <v>738</v>
      </c>
      <c r="B28" s="3" t="s">
        <v>236</v>
      </c>
      <c r="C28" s="3" t="s">
        <v>263</v>
      </c>
      <c r="D28" s="3" t="s">
        <v>238</v>
      </c>
      <c r="E28" s="4" t="s">
        <v>46</v>
      </c>
      <c r="F28" s="3" t="s">
        <v>729</v>
      </c>
      <c r="G28" s="3" t="s">
        <v>264</v>
      </c>
      <c r="H28" s="3" t="s">
        <v>265</v>
      </c>
      <c r="I28" s="3" t="s">
        <v>266</v>
      </c>
      <c r="J28" s="4" t="s">
        <v>250</v>
      </c>
      <c r="K28" s="5" t="s">
        <v>739</v>
      </c>
      <c r="L28" s="6" t="s">
        <v>662</v>
      </c>
      <c r="M28" s="5" t="s">
        <v>36</v>
      </c>
    </row>
    <row r="29" spans="1:13" ht="37.5" customHeight="1" x14ac:dyDescent="0.3">
      <c r="A29" s="2" t="s">
        <v>740</v>
      </c>
      <c r="B29" s="3" t="s">
        <v>236</v>
      </c>
      <c r="C29" s="3" t="s">
        <v>269</v>
      </c>
      <c r="D29" s="3" t="s">
        <v>238</v>
      </c>
      <c r="E29" s="4" t="s">
        <v>17</v>
      </c>
      <c r="F29" s="3" t="s">
        <v>741</v>
      </c>
      <c r="G29" s="3" t="s">
        <v>271</v>
      </c>
      <c r="H29" s="3" t="s">
        <v>742</v>
      </c>
      <c r="I29" s="3" t="s">
        <v>273</v>
      </c>
      <c r="J29" s="4" t="s">
        <v>243</v>
      </c>
      <c r="K29" s="5" t="s">
        <v>743</v>
      </c>
      <c r="L29" s="6" t="s">
        <v>662</v>
      </c>
      <c r="M29" s="5" t="s">
        <v>36</v>
      </c>
    </row>
    <row r="30" spans="1:13" ht="37.5" customHeight="1" x14ac:dyDescent="0.3">
      <c r="A30" s="2" t="s">
        <v>744</v>
      </c>
      <c r="B30" s="3" t="s">
        <v>307</v>
      </c>
      <c r="C30" s="3" t="s">
        <v>745</v>
      </c>
      <c r="D30" s="3" t="s">
        <v>16</v>
      </c>
      <c r="E30" s="4" t="s">
        <v>17</v>
      </c>
      <c r="F30" s="3" t="s">
        <v>746</v>
      </c>
      <c r="G30" s="3" t="s">
        <v>747</v>
      </c>
      <c r="H30" s="3" t="s">
        <v>742</v>
      </c>
      <c r="I30" s="3" t="s">
        <v>748</v>
      </c>
      <c r="J30" s="4" t="s">
        <v>280</v>
      </c>
      <c r="K30" s="5" t="s">
        <v>749</v>
      </c>
      <c r="L30" s="6" t="s">
        <v>662</v>
      </c>
      <c r="M30" s="5" t="s">
        <v>36</v>
      </c>
    </row>
    <row r="31" spans="1:13" ht="49.95" customHeight="1" x14ac:dyDescent="0.3">
      <c r="A31" s="2" t="s">
        <v>750</v>
      </c>
      <c r="B31" s="3" t="s">
        <v>307</v>
      </c>
      <c r="C31" s="3" t="s">
        <v>316</v>
      </c>
      <c r="D31" s="3" t="s">
        <v>82</v>
      </c>
      <c r="E31" s="4" t="s">
        <v>17</v>
      </c>
      <c r="F31" s="3" t="s">
        <v>309</v>
      </c>
      <c r="G31" s="3" t="s">
        <v>318</v>
      </c>
      <c r="H31" s="3" t="s">
        <v>751</v>
      </c>
      <c r="I31" s="3" t="s">
        <v>320</v>
      </c>
      <c r="J31" s="4" t="s">
        <v>313</v>
      </c>
      <c r="K31" s="5" t="s">
        <v>752</v>
      </c>
      <c r="L31" s="6" t="s">
        <v>662</v>
      </c>
      <c r="M31" s="5" t="s">
        <v>36</v>
      </c>
    </row>
  </sheetData>
  <autoFilter ref="A1:M31" xr:uid="{00000000-0009-0000-0000-000004000000}"/>
  <conditionalFormatting sqref="L2:L31">
    <cfRule type="cellIs" dxfId="11" priority="2" operator="equal">
      <formula>"Pass"</formula>
    </cfRule>
    <cfRule type="cellIs" dxfId="10" priority="3" operator="equal">
      <formula>"Fail"</formula>
    </cfRule>
    <cfRule type="cellIs" dxfId="9" priority="4" operator="equal">
      <formula>"Blocked"</formula>
    </cfRule>
  </conditionalFormatting>
  <dataValidations count="1">
    <dataValidation type="list" errorTitle="Invalid status" error="Choose Pass, Fail, Blocked or Not Run." sqref="L2:L31" xr:uid="{00000000-0002-0000-04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5"/>
  <sheetViews>
    <sheetView tabSelected="1" zoomScaleNormal="100" workbookViewId="0">
      <pane xSplit="3" ySplit="1" topLeftCell="H2" activePane="bottomRight" state="frozen"/>
      <selection pane="topRight"/>
      <selection pane="bottomLeft"/>
      <selection pane="bottomRight" activeCell="K33" sqref="K33"/>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66.2" customHeight="1" x14ac:dyDescent="0.3">
      <c r="A2" s="2" t="s">
        <v>13</v>
      </c>
      <c r="B2" s="3" t="s">
        <v>14</v>
      </c>
      <c r="C2" s="3" t="s">
        <v>15</v>
      </c>
      <c r="D2" s="3" t="s">
        <v>16</v>
      </c>
      <c r="E2" s="4" t="s">
        <v>17</v>
      </c>
      <c r="F2" s="3" t="s">
        <v>18</v>
      </c>
      <c r="G2" s="3" t="s">
        <v>19</v>
      </c>
      <c r="H2" s="3" t="s">
        <v>20</v>
      </c>
      <c r="I2" s="3" t="s">
        <v>21</v>
      </c>
      <c r="J2" s="4" t="s">
        <v>22</v>
      </c>
      <c r="K2" s="5" t="s">
        <v>23</v>
      </c>
      <c r="L2" s="6" t="s">
        <v>24</v>
      </c>
      <c r="M2" s="5" t="s">
        <v>25</v>
      </c>
    </row>
    <row r="3" spans="1:13" ht="79.2" customHeight="1" x14ac:dyDescent="0.3">
      <c r="A3" s="2" t="s">
        <v>26</v>
      </c>
      <c r="B3" s="3" t="s">
        <v>27</v>
      </c>
      <c r="C3" s="3" t="s">
        <v>28</v>
      </c>
      <c r="D3" s="3" t="s">
        <v>29</v>
      </c>
      <c r="E3" s="4" t="s">
        <v>17</v>
      </c>
      <c r="F3" s="3" t="s">
        <v>30</v>
      </c>
      <c r="G3" s="3" t="s">
        <v>31</v>
      </c>
      <c r="H3" s="3" t="s">
        <v>32</v>
      </c>
      <c r="I3" s="3" t="s">
        <v>33</v>
      </c>
      <c r="J3" s="4" t="s">
        <v>34</v>
      </c>
      <c r="K3" s="5" t="s">
        <v>35</v>
      </c>
      <c r="L3" s="6" t="s">
        <v>24</v>
      </c>
      <c r="M3" s="5" t="s">
        <v>36</v>
      </c>
    </row>
    <row r="4" spans="1:13" ht="141" customHeight="1" x14ac:dyDescent="0.3">
      <c r="A4" s="2" t="s">
        <v>37</v>
      </c>
      <c r="B4" s="3" t="s">
        <v>27</v>
      </c>
      <c r="C4" s="3" t="s">
        <v>38</v>
      </c>
      <c r="D4" s="3" t="s">
        <v>29</v>
      </c>
      <c r="E4" s="4" t="s">
        <v>17</v>
      </c>
      <c r="F4" s="3" t="s">
        <v>30</v>
      </c>
      <c r="G4" s="3" t="s">
        <v>39</v>
      </c>
      <c r="H4" s="3" t="s">
        <v>40</v>
      </c>
      <c r="I4" s="3" t="s">
        <v>41</v>
      </c>
      <c r="J4" s="4" t="s">
        <v>34</v>
      </c>
      <c r="K4" s="5" t="s">
        <v>42</v>
      </c>
      <c r="L4" s="6" t="s">
        <v>24</v>
      </c>
      <c r="M4" s="5" t="s">
        <v>25</v>
      </c>
    </row>
    <row r="5" spans="1:13" ht="82.2" customHeight="1" x14ac:dyDescent="0.3">
      <c r="A5" s="2" t="s">
        <v>43</v>
      </c>
      <c r="B5" s="3" t="s">
        <v>44</v>
      </c>
      <c r="C5" s="3" t="s">
        <v>45</v>
      </c>
      <c r="D5" s="3" t="s">
        <v>29</v>
      </c>
      <c r="E5" s="4" t="s">
        <v>46</v>
      </c>
      <c r="F5" s="3" t="s">
        <v>30</v>
      </c>
      <c r="G5" s="3" t="s">
        <v>47</v>
      </c>
      <c r="H5" s="3" t="s">
        <v>48</v>
      </c>
      <c r="I5" s="3" t="s">
        <v>49</v>
      </c>
      <c r="J5" s="4" t="s">
        <v>50</v>
      </c>
      <c r="K5" s="5" t="s">
        <v>51</v>
      </c>
      <c r="L5" s="6" t="s">
        <v>24</v>
      </c>
      <c r="M5" s="5" t="s">
        <v>36</v>
      </c>
    </row>
    <row r="6" spans="1:13" ht="69.599999999999994" customHeight="1" x14ac:dyDescent="0.3">
      <c r="A6" s="2" t="s">
        <v>52</v>
      </c>
      <c r="B6" s="3" t="s">
        <v>44</v>
      </c>
      <c r="C6" s="3" t="s">
        <v>53</v>
      </c>
      <c r="D6" s="3" t="s">
        <v>29</v>
      </c>
      <c r="E6" s="4" t="s">
        <v>54</v>
      </c>
      <c r="F6" s="3" t="s">
        <v>18</v>
      </c>
      <c r="G6" s="3" t="s">
        <v>47</v>
      </c>
      <c r="H6" s="3" t="s">
        <v>55</v>
      </c>
      <c r="I6" s="3" t="s">
        <v>56</v>
      </c>
      <c r="J6" s="4" t="s">
        <v>50</v>
      </c>
      <c r="K6" s="5" t="s">
        <v>57</v>
      </c>
      <c r="L6" s="6" t="s">
        <v>24</v>
      </c>
      <c r="M6" s="5" t="s">
        <v>25</v>
      </c>
    </row>
    <row r="7" spans="1:13" ht="85.2" customHeight="1" x14ac:dyDescent="0.3">
      <c r="A7" s="2" t="s">
        <v>58</v>
      </c>
      <c r="B7" s="3" t="s">
        <v>44</v>
      </c>
      <c r="C7" s="3" t="s">
        <v>59</v>
      </c>
      <c r="D7" s="3" t="s">
        <v>60</v>
      </c>
      <c r="E7" s="4" t="s">
        <v>46</v>
      </c>
      <c r="F7" s="3" t="s">
        <v>18</v>
      </c>
      <c r="G7" s="3" t="s">
        <v>61</v>
      </c>
      <c r="H7" s="3" t="s">
        <v>62</v>
      </c>
      <c r="I7" s="3" t="s">
        <v>63</v>
      </c>
      <c r="J7" s="4" t="s">
        <v>50</v>
      </c>
      <c r="K7" s="5" t="s">
        <v>64</v>
      </c>
      <c r="L7" s="6" t="s">
        <v>24</v>
      </c>
      <c r="M7" s="5" t="s">
        <v>36</v>
      </c>
    </row>
    <row r="8" spans="1:13" ht="97.2" customHeight="1" x14ac:dyDescent="0.3">
      <c r="A8" s="2" t="s">
        <v>65</v>
      </c>
      <c r="B8" s="3" t="s">
        <v>66</v>
      </c>
      <c r="C8" s="3" t="s">
        <v>67</v>
      </c>
      <c r="D8" s="3" t="s">
        <v>29</v>
      </c>
      <c r="E8" s="4" t="s">
        <v>17</v>
      </c>
      <c r="F8" s="3" t="s">
        <v>30</v>
      </c>
      <c r="G8" s="3" t="s">
        <v>68</v>
      </c>
      <c r="H8" s="3" t="s">
        <v>69</v>
      </c>
      <c r="I8" s="3" t="s">
        <v>70</v>
      </c>
      <c r="J8" s="4" t="s">
        <v>71</v>
      </c>
      <c r="K8" s="5" t="s">
        <v>72</v>
      </c>
      <c r="L8" s="6" t="s">
        <v>24</v>
      </c>
      <c r="M8" s="5" t="s">
        <v>25</v>
      </c>
    </row>
    <row r="9" spans="1:13" ht="49.95" customHeight="1" x14ac:dyDescent="0.3">
      <c r="A9" s="2" t="s">
        <v>73</v>
      </c>
      <c r="B9" s="3" t="s">
        <v>66</v>
      </c>
      <c r="C9" s="3" t="s">
        <v>74</v>
      </c>
      <c r="D9" s="3" t="s">
        <v>29</v>
      </c>
      <c r="E9" s="4" t="s">
        <v>17</v>
      </c>
      <c r="F9" s="3" t="s">
        <v>75</v>
      </c>
      <c r="G9" s="3" t="s">
        <v>76</v>
      </c>
      <c r="H9" s="3" t="s">
        <v>77</v>
      </c>
      <c r="I9" s="3" t="s">
        <v>78</v>
      </c>
      <c r="J9" s="4" t="s">
        <v>71</v>
      </c>
      <c r="K9" s="5" t="s">
        <v>79</v>
      </c>
      <c r="L9" s="6" t="s">
        <v>24</v>
      </c>
      <c r="M9" s="5" t="s">
        <v>36</v>
      </c>
    </row>
    <row r="10" spans="1:13" ht="49.95" customHeight="1" x14ac:dyDescent="0.3">
      <c r="A10" s="2" t="s">
        <v>80</v>
      </c>
      <c r="B10" s="3" t="s">
        <v>66</v>
      </c>
      <c r="C10" s="3" t="s">
        <v>81</v>
      </c>
      <c r="D10" s="3" t="s">
        <v>82</v>
      </c>
      <c r="E10" s="4" t="s">
        <v>46</v>
      </c>
      <c r="F10" s="3" t="s">
        <v>75</v>
      </c>
      <c r="G10" s="3" t="s">
        <v>83</v>
      </c>
      <c r="H10" s="3" t="s">
        <v>84</v>
      </c>
      <c r="I10" s="3" t="s">
        <v>85</v>
      </c>
      <c r="J10" s="4" t="s">
        <v>71</v>
      </c>
      <c r="K10" s="5" t="s">
        <v>86</v>
      </c>
      <c r="L10" s="6" t="s">
        <v>24</v>
      </c>
      <c r="M10" s="5" t="s">
        <v>36</v>
      </c>
    </row>
    <row r="11" spans="1:13" ht="49.95" customHeight="1" x14ac:dyDescent="0.3">
      <c r="A11" s="2" t="s">
        <v>87</v>
      </c>
      <c r="B11" s="3" t="s">
        <v>66</v>
      </c>
      <c r="C11" s="3" t="s">
        <v>88</v>
      </c>
      <c r="D11" s="3" t="s">
        <v>82</v>
      </c>
      <c r="E11" s="4" t="s">
        <v>54</v>
      </c>
      <c r="F11" s="3" t="s">
        <v>18</v>
      </c>
      <c r="G11" s="3" t="s">
        <v>89</v>
      </c>
      <c r="H11" s="3" t="s">
        <v>90</v>
      </c>
      <c r="I11" s="3" t="s">
        <v>91</v>
      </c>
      <c r="J11" s="4" t="s">
        <v>71</v>
      </c>
      <c r="K11" s="5" t="s">
        <v>92</v>
      </c>
      <c r="L11" s="6" t="s">
        <v>24</v>
      </c>
      <c r="M11" s="5" t="s">
        <v>36</v>
      </c>
    </row>
    <row r="12" spans="1:13" ht="97.2" customHeight="1" x14ac:dyDescent="0.3">
      <c r="A12" s="2" t="s">
        <v>93</v>
      </c>
      <c r="B12" s="3" t="s">
        <v>94</v>
      </c>
      <c r="C12" s="3" t="s">
        <v>95</v>
      </c>
      <c r="D12" s="3" t="s">
        <v>29</v>
      </c>
      <c r="E12" s="4" t="s">
        <v>17</v>
      </c>
      <c r="F12" s="3" t="s">
        <v>30</v>
      </c>
      <c r="G12" s="3" t="s">
        <v>96</v>
      </c>
      <c r="H12" s="3" t="s">
        <v>97</v>
      </c>
      <c r="I12" s="3" t="s">
        <v>98</v>
      </c>
      <c r="J12" s="4" t="s">
        <v>99</v>
      </c>
      <c r="K12" s="5" t="s">
        <v>100</v>
      </c>
      <c r="L12" s="6" t="s">
        <v>24</v>
      </c>
      <c r="M12" s="5" t="s">
        <v>25</v>
      </c>
    </row>
    <row r="13" spans="1:13" ht="85.2" customHeight="1" x14ac:dyDescent="0.3">
      <c r="A13" s="2" t="s">
        <v>101</v>
      </c>
      <c r="B13" s="3" t="s">
        <v>94</v>
      </c>
      <c r="C13" s="3" t="s">
        <v>102</v>
      </c>
      <c r="D13" s="3" t="s">
        <v>60</v>
      </c>
      <c r="E13" s="4" t="s">
        <v>17</v>
      </c>
      <c r="F13" s="3" t="s">
        <v>18</v>
      </c>
      <c r="G13" s="3" t="s">
        <v>96</v>
      </c>
      <c r="H13" s="3" t="s">
        <v>103</v>
      </c>
      <c r="I13" s="3" t="s">
        <v>104</v>
      </c>
      <c r="J13" s="4" t="s">
        <v>99</v>
      </c>
      <c r="K13" s="5" t="s">
        <v>105</v>
      </c>
      <c r="L13" s="6" t="s">
        <v>24</v>
      </c>
      <c r="M13" s="5" t="s">
        <v>36</v>
      </c>
    </row>
    <row r="14" spans="1:13" ht="83.4" customHeight="1" x14ac:dyDescent="0.3">
      <c r="A14" s="2" t="s">
        <v>106</v>
      </c>
      <c r="B14" s="3" t="s">
        <v>94</v>
      </c>
      <c r="C14" s="3" t="s">
        <v>107</v>
      </c>
      <c r="D14" s="3" t="s">
        <v>29</v>
      </c>
      <c r="E14" s="4" t="s">
        <v>46</v>
      </c>
      <c r="F14" s="3" t="s">
        <v>108</v>
      </c>
      <c r="G14" s="3" t="s">
        <v>109</v>
      </c>
      <c r="H14" s="3" t="s">
        <v>110</v>
      </c>
      <c r="I14" s="3" t="s">
        <v>111</v>
      </c>
      <c r="J14" s="4" t="s">
        <v>99</v>
      </c>
      <c r="K14" s="5" t="s">
        <v>112</v>
      </c>
      <c r="L14" s="6" t="s">
        <v>113</v>
      </c>
      <c r="M14" s="5" t="s">
        <v>25</v>
      </c>
    </row>
    <row r="15" spans="1:13" ht="99.6" customHeight="1" x14ac:dyDescent="0.3">
      <c r="A15" s="2" t="s">
        <v>114</v>
      </c>
      <c r="B15" s="3" t="s">
        <v>94</v>
      </c>
      <c r="C15" s="3" t="s">
        <v>115</v>
      </c>
      <c r="D15" s="3" t="s">
        <v>82</v>
      </c>
      <c r="E15" s="4" t="s">
        <v>46</v>
      </c>
      <c r="F15" s="3" t="s">
        <v>108</v>
      </c>
      <c r="G15" s="3" t="s">
        <v>116</v>
      </c>
      <c r="H15" s="3" t="s">
        <v>117</v>
      </c>
      <c r="I15" s="3" t="s">
        <v>118</v>
      </c>
      <c r="J15" s="4" t="s">
        <v>99</v>
      </c>
      <c r="K15" s="5" t="s">
        <v>119</v>
      </c>
      <c r="L15" s="6" t="s">
        <v>24</v>
      </c>
      <c r="M15" s="5" t="s">
        <v>25</v>
      </c>
    </row>
    <row r="16" spans="1:13" ht="62.4" customHeight="1" x14ac:dyDescent="0.3">
      <c r="A16" s="2" t="s">
        <v>120</v>
      </c>
      <c r="B16" s="3" t="s">
        <v>121</v>
      </c>
      <c r="C16" s="3" t="s">
        <v>122</v>
      </c>
      <c r="D16" s="3" t="s">
        <v>60</v>
      </c>
      <c r="E16" s="4" t="s">
        <v>17</v>
      </c>
      <c r="F16" s="3" t="s">
        <v>18</v>
      </c>
      <c r="G16" s="3" t="s">
        <v>123</v>
      </c>
      <c r="H16" s="3" t="s">
        <v>124</v>
      </c>
      <c r="I16" s="3" t="s">
        <v>125</v>
      </c>
      <c r="J16" s="4" t="s">
        <v>126</v>
      </c>
      <c r="K16" s="5" t="s">
        <v>127</v>
      </c>
      <c r="L16" s="6" t="s">
        <v>24</v>
      </c>
      <c r="M16" s="5" t="s">
        <v>36</v>
      </c>
    </row>
    <row r="17" spans="1:13" ht="68.400000000000006" customHeight="1" x14ac:dyDescent="0.3">
      <c r="A17" s="2" t="s">
        <v>128</v>
      </c>
      <c r="B17" s="3" t="s">
        <v>121</v>
      </c>
      <c r="C17" s="3" t="s">
        <v>129</v>
      </c>
      <c r="D17" s="3" t="s">
        <v>130</v>
      </c>
      <c r="E17" s="4" t="s">
        <v>17</v>
      </c>
      <c r="F17" s="3" t="s">
        <v>30</v>
      </c>
      <c r="G17" s="3" t="s">
        <v>123</v>
      </c>
      <c r="H17" s="3" t="s">
        <v>131</v>
      </c>
      <c r="I17" s="3" t="s">
        <v>132</v>
      </c>
      <c r="J17" s="4" t="s">
        <v>126</v>
      </c>
      <c r="K17" s="5" t="s">
        <v>133</v>
      </c>
      <c r="L17" s="6" t="s">
        <v>24</v>
      </c>
      <c r="M17" s="5" t="s">
        <v>36</v>
      </c>
    </row>
    <row r="18" spans="1:13" ht="49.95" customHeight="1" x14ac:dyDescent="0.3">
      <c r="A18" s="2" t="s">
        <v>134</v>
      </c>
      <c r="B18" s="3" t="s">
        <v>121</v>
      </c>
      <c r="C18" s="3" t="s">
        <v>135</v>
      </c>
      <c r="D18" s="3" t="s">
        <v>29</v>
      </c>
      <c r="E18" s="4" t="s">
        <v>17</v>
      </c>
      <c r="F18" s="3" t="s">
        <v>30</v>
      </c>
      <c r="G18" s="3" t="s">
        <v>136</v>
      </c>
      <c r="H18" s="3" t="s">
        <v>137</v>
      </c>
      <c r="I18" s="3" t="s">
        <v>138</v>
      </c>
      <c r="J18" s="4" t="s">
        <v>126</v>
      </c>
      <c r="K18" s="5" t="s">
        <v>139</v>
      </c>
      <c r="L18" s="6" t="s">
        <v>24</v>
      </c>
      <c r="M18" s="5" t="s">
        <v>36</v>
      </c>
    </row>
    <row r="19" spans="1:13" ht="40.799999999999997" customHeight="1" x14ac:dyDescent="0.3">
      <c r="A19" s="2" t="s">
        <v>140</v>
      </c>
      <c r="B19" s="3" t="s">
        <v>121</v>
      </c>
      <c r="C19" s="3" t="s">
        <v>141</v>
      </c>
      <c r="D19" s="3" t="s">
        <v>82</v>
      </c>
      <c r="E19" s="4" t="s">
        <v>54</v>
      </c>
      <c r="F19" s="3" t="s">
        <v>30</v>
      </c>
      <c r="G19" s="3" t="s">
        <v>142</v>
      </c>
      <c r="H19" s="3" t="s">
        <v>143</v>
      </c>
      <c r="I19" s="3" t="s">
        <v>144</v>
      </c>
      <c r="J19" s="4" t="s">
        <v>126</v>
      </c>
      <c r="K19" s="5" t="s">
        <v>145</v>
      </c>
      <c r="L19" s="6" t="s">
        <v>24</v>
      </c>
      <c r="M19" s="5" t="s">
        <v>36</v>
      </c>
    </row>
    <row r="20" spans="1:13" ht="49.95" customHeight="1" x14ac:dyDescent="0.3">
      <c r="A20" s="2" t="s">
        <v>146</v>
      </c>
      <c r="B20" s="3" t="s">
        <v>147</v>
      </c>
      <c r="C20" s="3" t="s">
        <v>148</v>
      </c>
      <c r="D20" s="3" t="s">
        <v>29</v>
      </c>
      <c r="E20" s="4" t="s">
        <v>46</v>
      </c>
      <c r="F20" s="3" t="s">
        <v>30</v>
      </c>
      <c r="G20" s="3" t="s">
        <v>149</v>
      </c>
      <c r="H20" s="3" t="s">
        <v>150</v>
      </c>
      <c r="I20" s="3" t="s">
        <v>151</v>
      </c>
      <c r="J20" s="4" t="s">
        <v>34</v>
      </c>
      <c r="K20" s="5" t="s">
        <v>152</v>
      </c>
      <c r="L20" s="6" t="s">
        <v>24</v>
      </c>
      <c r="M20" s="5" t="s">
        <v>36</v>
      </c>
    </row>
    <row r="21" spans="1:13" ht="72" customHeight="1" x14ac:dyDescent="0.3">
      <c r="A21" s="2" t="s">
        <v>153</v>
      </c>
      <c r="B21" s="3" t="s">
        <v>14</v>
      </c>
      <c r="C21" s="3" t="s">
        <v>154</v>
      </c>
      <c r="D21" s="3" t="s">
        <v>82</v>
      </c>
      <c r="E21" s="4" t="s">
        <v>46</v>
      </c>
      <c r="F21" s="3" t="s">
        <v>18</v>
      </c>
      <c r="G21" s="3" t="s">
        <v>155</v>
      </c>
      <c r="H21" s="3" t="s">
        <v>156</v>
      </c>
      <c r="I21" s="3" t="s">
        <v>157</v>
      </c>
      <c r="J21" s="4" t="s">
        <v>71</v>
      </c>
      <c r="K21" s="5" t="s">
        <v>158</v>
      </c>
      <c r="L21" s="6" t="s">
        <v>24</v>
      </c>
      <c r="M21" s="5" t="s">
        <v>25</v>
      </c>
    </row>
    <row r="22" spans="1:13" ht="85.2" customHeight="1" x14ac:dyDescent="0.3">
      <c r="A22" s="2" t="s">
        <v>159</v>
      </c>
      <c r="B22" s="3" t="s">
        <v>160</v>
      </c>
      <c r="C22" s="3" t="s">
        <v>161</v>
      </c>
      <c r="D22" s="3" t="s">
        <v>29</v>
      </c>
      <c r="E22" s="4" t="s">
        <v>46</v>
      </c>
      <c r="F22" s="3" t="s">
        <v>75</v>
      </c>
      <c r="G22" s="3" t="s">
        <v>162</v>
      </c>
      <c r="H22" s="3" t="s">
        <v>163</v>
      </c>
      <c r="I22" s="3" t="s">
        <v>164</v>
      </c>
      <c r="J22" s="4" t="s">
        <v>165</v>
      </c>
      <c r="K22" s="5" t="s">
        <v>166</v>
      </c>
      <c r="L22" s="6" t="s">
        <v>24</v>
      </c>
      <c r="M22" s="5" t="s">
        <v>25</v>
      </c>
    </row>
    <row r="23" spans="1:13" ht="75" customHeight="1" x14ac:dyDescent="0.3">
      <c r="A23" s="2" t="s">
        <v>167</v>
      </c>
      <c r="B23" s="3" t="s">
        <v>160</v>
      </c>
      <c r="C23" s="3" t="s">
        <v>168</v>
      </c>
      <c r="D23" s="3" t="s">
        <v>60</v>
      </c>
      <c r="E23" s="4" t="s">
        <v>46</v>
      </c>
      <c r="F23" s="3" t="s">
        <v>18</v>
      </c>
      <c r="G23" s="3" t="s">
        <v>169</v>
      </c>
      <c r="H23" s="3" t="s">
        <v>170</v>
      </c>
      <c r="I23" s="3" t="s">
        <v>171</v>
      </c>
      <c r="J23" s="4" t="s">
        <v>165</v>
      </c>
      <c r="K23" s="5" t="s">
        <v>172</v>
      </c>
      <c r="L23" s="6" t="s">
        <v>24</v>
      </c>
      <c r="M23" s="5" t="s">
        <v>36</v>
      </c>
    </row>
    <row r="24" spans="1:13" ht="135" customHeight="1" x14ac:dyDescent="0.3">
      <c r="A24" s="2" t="s">
        <v>173</v>
      </c>
      <c r="B24" s="3" t="s">
        <v>174</v>
      </c>
      <c r="C24" s="3" t="s">
        <v>175</v>
      </c>
      <c r="D24" s="3" t="s">
        <v>130</v>
      </c>
      <c r="E24" s="4" t="s">
        <v>17</v>
      </c>
      <c r="F24" s="3" t="s">
        <v>18</v>
      </c>
      <c r="G24" s="3" t="s">
        <v>176</v>
      </c>
      <c r="H24" s="3" t="s">
        <v>177</v>
      </c>
      <c r="I24" s="3" t="s">
        <v>178</v>
      </c>
      <c r="J24" s="4" t="s">
        <v>179</v>
      </c>
      <c r="K24" s="5" t="s">
        <v>180</v>
      </c>
      <c r="L24" s="6" t="s">
        <v>24</v>
      </c>
      <c r="M24" s="5" t="s">
        <v>25</v>
      </c>
    </row>
    <row r="25" spans="1:13" ht="49.95" customHeight="1" x14ac:dyDescent="0.3">
      <c r="A25" s="2" t="s">
        <v>181</v>
      </c>
      <c r="B25" s="3" t="s">
        <v>174</v>
      </c>
      <c r="C25" s="3" t="s">
        <v>182</v>
      </c>
      <c r="D25" s="3" t="s">
        <v>130</v>
      </c>
      <c r="E25" s="4" t="s">
        <v>17</v>
      </c>
      <c r="F25" s="3" t="s">
        <v>30</v>
      </c>
      <c r="G25" s="3" t="s">
        <v>183</v>
      </c>
      <c r="H25" s="3" t="s">
        <v>184</v>
      </c>
      <c r="I25" s="3" t="s">
        <v>185</v>
      </c>
      <c r="J25" s="4" t="s">
        <v>179</v>
      </c>
      <c r="K25" s="5" t="s">
        <v>186</v>
      </c>
      <c r="L25" s="6" t="s">
        <v>24</v>
      </c>
      <c r="M25" s="5" t="s">
        <v>36</v>
      </c>
    </row>
    <row r="26" spans="1:13" ht="81" customHeight="1" x14ac:dyDescent="0.3">
      <c r="A26" s="2" t="s">
        <v>187</v>
      </c>
      <c r="B26" s="3" t="s">
        <v>174</v>
      </c>
      <c r="C26" s="3" t="s">
        <v>188</v>
      </c>
      <c r="D26" s="3" t="s">
        <v>60</v>
      </c>
      <c r="E26" s="4" t="s">
        <v>17</v>
      </c>
      <c r="F26" s="3" t="s">
        <v>30</v>
      </c>
      <c r="G26" s="3" t="s">
        <v>189</v>
      </c>
      <c r="H26" s="3" t="s">
        <v>190</v>
      </c>
      <c r="I26" s="3" t="s">
        <v>191</v>
      </c>
      <c r="J26" s="4" t="s">
        <v>192</v>
      </c>
      <c r="K26" s="5" t="s">
        <v>193</v>
      </c>
      <c r="L26" s="6" t="s">
        <v>24</v>
      </c>
      <c r="M26" s="5" t="s">
        <v>36</v>
      </c>
    </row>
    <row r="27" spans="1:13" ht="68.400000000000006" customHeight="1" x14ac:dyDescent="0.3">
      <c r="A27" s="2" t="s">
        <v>194</v>
      </c>
      <c r="B27" s="3" t="s">
        <v>174</v>
      </c>
      <c r="C27" s="3" t="s">
        <v>195</v>
      </c>
      <c r="D27" s="3" t="s">
        <v>29</v>
      </c>
      <c r="E27" s="4" t="s">
        <v>46</v>
      </c>
      <c r="F27" s="3" t="s">
        <v>196</v>
      </c>
      <c r="G27" s="3" t="s">
        <v>197</v>
      </c>
      <c r="H27" s="3" t="s">
        <v>198</v>
      </c>
      <c r="I27" s="3" t="s">
        <v>199</v>
      </c>
      <c r="J27" s="4" t="s">
        <v>192</v>
      </c>
      <c r="K27" s="5" t="s">
        <v>200</v>
      </c>
      <c r="L27" s="6" t="s">
        <v>113</v>
      </c>
      <c r="M27" s="5" t="s">
        <v>25</v>
      </c>
    </row>
    <row r="28" spans="1:13" ht="97.8" customHeight="1" x14ac:dyDescent="0.3">
      <c r="A28" s="2" t="s">
        <v>201</v>
      </c>
      <c r="B28" s="3" t="s">
        <v>202</v>
      </c>
      <c r="C28" s="3" t="s">
        <v>203</v>
      </c>
      <c r="D28" s="3" t="s">
        <v>82</v>
      </c>
      <c r="E28" s="4" t="s">
        <v>46</v>
      </c>
      <c r="F28" s="3" t="s">
        <v>30</v>
      </c>
      <c r="G28" s="3" t="s">
        <v>204</v>
      </c>
      <c r="H28" s="3" t="s">
        <v>205</v>
      </c>
      <c r="I28" s="3" t="s">
        <v>206</v>
      </c>
      <c r="J28" s="4" t="s">
        <v>207</v>
      </c>
      <c r="K28" s="5" t="s">
        <v>208</v>
      </c>
      <c r="L28" s="6" t="s">
        <v>24</v>
      </c>
      <c r="M28" s="5" t="s">
        <v>36</v>
      </c>
    </row>
    <row r="29" spans="1:13" ht="82.2" customHeight="1" x14ac:dyDescent="0.3">
      <c r="A29" s="2" t="s">
        <v>209</v>
      </c>
      <c r="B29" s="3" t="s">
        <v>202</v>
      </c>
      <c r="C29" s="3" t="s">
        <v>210</v>
      </c>
      <c r="D29" s="3" t="s">
        <v>60</v>
      </c>
      <c r="E29" s="4" t="s">
        <v>46</v>
      </c>
      <c r="F29" s="3" t="s">
        <v>30</v>
      </c>
      <c r="G29" s="3" t="s">
        <v>211</v>
      </c>
      <c r="H29" s="3" t="s">
        <v>212</v>
      </c>
      <c r="I29" s="3" t="s">
        <v>213</v>
      </c>
      <c r="J29" s="4" t="s">
        <v>207</v>
      </c>
      <c r="K29" s="5" t="s">
        <v>214</v>
      </c>
      <c r="L29" s="6" t="s">
        <v>24</v>
      </c>
      <c r="M29" s="5" t="s">
        <v>36</v>
      </c>
    </row>
    <row r="30" spans="1:13" ht="75" customHeight="1" x14ac:dyDescent="0.3">
      <c r="A30" s="2" t="s">
        <v>215</v>
      </c>
      <c r="B30" s="3" t="s">
        <v>216</v>
      </c>
      <c r="C30" s="3" t="s">
        <v>217</v>
      </c>
      <c r="D30" s="3" t="s">
        <v>29</v>
      </c>
      <c r="E30" s="4" t="s">
        <v>17</v>
      </c>
      <c r="F30" s="3" t="s">
        <v>18</v>
      </c>
      <c r="G30" s="3" t="s">
        <v>218</v>
      </c>
      <c r="H30" s="3" t="s">
        <v>219</v>
      </c>
      <c r="I30" s="3" t="s">
        <v>220</v>
      </c>
      <c r="J30" s="4" t="s">
        <v>221</v>
      </c>
      <c r="K30" s="5" t="s">
        <v>222</v>
      </c>
      <c r="L30" s="6" t="s">
        <v>24</v>
      </c>
      <c r="M30" s="5" t="s">
        <v>25</v>
      </c>
    </row>
    <row r="31" spans="1:13" ht="55.8" customHeight="1" x14ac:dyDescent="0.3">
      <c r="A31" s="2" t="s">
        <v>223</v>
      </c>
      <c r="B31" s="3" t="s">
        <v>216</v>
      </c>
      <c r="C31" s="3" t="s">
        <v>224</v>
      </c>
      <c r="D31" s="3" t="s">
        <v>29</v>
      </c>
      <c r="E31" s="4" t="s">
        <v>17</v>
      </c>
      <c r="F31" s="3" t="s">
        <v>30</v>
      </c>
      <c r="G31" s="3" t="s">
        <v>225</v>
      </c>
      <c r="H31" s="3" t="s">
        <v>226</v>
      </c>
      <c r="I31" s="3" t="s">
        <v>227</v>
      </c>
      <c r="J31" s="4" t="s">
        <v>221</v>
      </c>
      <c r="K31" s="5" t="s">
        <v>228</v>
      </c>
      <c r="L31" s="6" t="s">
        <v>24</v>
      </c>
      <c r="M31" s="5" t="s">
        <v>36</v>
      </c>
    </row>
    <row r="32" spans="1:13" ht="49.95" customHeight="1" x14ac:dyDescent="0.3">
      <c r="A32" s="2" t="s">
        <v>229</v>
      </c>
      <c r="B32" s="3" t="s">
        <v>216</v>
      </c>
      <c r="C32" s="3" t="s">
        <v>230</v>
      </c>
      <c r="D32" s="3" t="s">
        <v>60</v>
      </c>
      <c r="E32" s="4" t="s">
        <v>17</v>
      </c>
      <c r="F32" s="3" t="s">
        <v>18</v>
      </c>
      <c r="G32" s="3" t="s">
        <v>231</v>
      </c>
      <c r="H32" s="3" t="s">
        <v>232</v>
      </c>
      <c r="I32" s="3" t="s">
        <v>233</v>
      </c>
      <c r="J32" s="4" t="s">
        <v>221</v>
      </c>
      <c r="K32" s="5" t="s">
        <v>234</v>
      </c>
      <c r="L32" s="6" t="s">
        <v>24</v>
      </c>
      <c r="M32" s="5" t="s">
        <v>36</v>
      </c>
    </row>
    <row r="33" spans="1:13" ht="94.2" customHeight="1" x14ac:dyDescent="0.3">
      <c r="A33" s="2" t="s">
        <v>235</v>
      </c>
      <c r="B33" s="3" t="s">
        <v>236</v>
      </c>
      <c r="C33" s="3" t="s">
        <v>237</v>
      </c>
      <c r="D33" s="3" t="s">
        <v>238</v>
      </c>
      <c r="E33" s="4" t="s">
        <v>17</v>
      </c>
      <c r="F33" s="3" t="s">
        <v>239</v>
      </c>
      <c r="G33" s="3" t="s">
        <v>240</v>
      </c>
      <c r="H33" s="3" t="s">
        <v>241</v>
      </c>
      <c r="I33" s="3" t="s">
        <v>242</v>
      </c>
      <c r="J33" s="4" t="s">
        <v>243</v>
      </c>
      <c r="K33" s="5" t="s">
        <v>244</v>
      </c>
      <c r="L33" s="6" t="s">
        <v>24</v>
      </c>
      <c r="M33" s="5" t="s">
        <v>25</v>
      </c>
    </row>
    <row r="34" spans="1:13" ht="75" customHeight="1" x14ac:dyDescent="0.3">
      <c r="A34" s="2" t="s">
        <v>245</v>
      </c>
      <c r="B34" s="3" t="s">
        <v>236</v>
      </c>
      <c r="C34" s="3" t="s">
        <v>246</v>
      </c>
      <c r="D34" s="3" t="s">
        <v>29</v>
      </c>
      <c r="E34" s="4" t="s">
        <v>17</v>
      </c>
      <c r="F34" s="3" t="s">
        <v>239</v>
      </c>
      <c r="G34" s="3" t="s">
        <v>247</v>
      </c>
      <c r="H34" s="3" t="s">
        <v>248</v>
      </c>
      <c r="I34" s="3" t="s">
        <v>249</v>
      </c>
      <c r="J34" s="4" t="s">
        <v>250</v>
      </c>
      <c r="K34" s="5" t="s">
        <v>251</v>
      </c>
      <c r="L34" s="6" t="s">
        <v>24</v>
      </c>
      <c r="M34" s="5" t="s">
        <v>36</v>
      </c>
    </row>
    <row r="35" spans="1:13" ht="97.2" customHeight="1" x14ac:dyDescent="0.3">
      <c r="A35" s="2" t="s">
        <v>252</v>
      </c>
      <c r="B35" s="3" t="s">
        <v>236</v>
      </c>
      <c r="C35" s="3" t="s">
        <v>253</v>
      </c>
      <c r="D35" s="3" t="s">
        <v>29</v>
      </c>
      <c r="E35" s="4" t="s">
        <v>46</v>
      </c>
      <c r="F35" s="3" t="s">
        <v>239</v>
      </c>
      <c r="G35" s="3" t="s">
        <v>254</v>
      </c>
      <c r="H35" s="3" t="s">
        <v>255</v>
      </c>
      <c r="I35" s="3" t="s">
        <v>256</v>
      </c>
      <c r="J35" s="4" t="s">
        <v>250</v>
      </c>
      <c r="K35" s="5" t="s">
        <v>1031</v>
      </c>
      <c r="L35" s="6" t="s">
        <v>24</v>
      </c>
      <c r="M35" s="5" t="s">
        <v>36</v>
      </c>
    </row>
    <row r="36" spans="1:13" ht="86.4" customHeight="1" x14ac:dyDescent="0.3">
      <c r="A36" s="2" t="s">
        <v>257</v>
      </c>
      <c r="B36" s="3" t="s">
        <v>236</v>
      </c>
      <c r="C36" s="3" t="s">
        <v>258</v>
      </c>
      <c r="D36" s="3" t="s">
        <v>60</v>
      </c>
      <c r="E36" s="4" t="s">
        <v>17</v>
      </c>
      <c r="F36" s="3" t="s">
        <v>239</v>
      </c>
      <c r="G36" s="3" t="s">
        <v>259</v>
      </c>
      <c r="H36" s="3" t="s">
        <v>260</v>
      </c>
      <c r="I36" s="3" t="s">
        <v>261</v>
      </c>
      <c r="J36" s="4" t="s">
        <v>250</v>
      </c>
      <c r="K36" s="5" t="s">
        <v>1030</v>
      </c>
      <c r="L36" s="6" t="s">
        <v>24</v>
      </c>
      <c r="M36" s="5" t="s">
        <v>36</v>
      </c>
    </row>
    <row r="37" spans="1:13" ht="75" customHeight="1" x14ac:dyDescent="0.3">
      <c r="A37" s="2" t="s">
        <v>262</v>
      </c>
      <c r="B37" s="3" t="s">
        <v>236</v>
      </c>
      <c r="C37" s="3" t="s">
        <v>263</v>
      </c>
      <c r="D37" s="3" t="s">
        <v>238</v>
      </c>
      <c r="E37" s="4" t="s">
        <v>46</v>
      </c>
      <c r="F37" s="3" t="s">
        <v>239</v>
      </c>
      <c r="G37" s="3" t="s">
        <v>264</v>
      </c>
      <c r="H37" s="3" t="s">
        <v>265</v>
      </c>
      <c r="I37" s="3" t="s">
        <v>266</v>
      </c>
      <c r="J37" s="4" t="s">
        <v>250</v>
      </c>
      <c r="K37" s="5" t="s">
        <v>267</v>
      </c>
      <c r="L37" s="6" t="s">
        <v>24</v>
      </c>
      <c r="M37" s="5" t="s">
        <v>36</v>
      </c>
    </row>
    <row r="38" spans="1:13" ht="81.599999999999994" customHeight="1" x14ac:dyDescent="0.3">
      <c r="A38" s="2" t="s">
        <v>268</v>
      </c>
      <c r="B38" s="3" t="s">
        <v>236</v>
      </c>
      <c r="C38" s="3" t="s">
        <v>269</v>
      </c>
      <c r="D38" s="3" t="s">
        <v>238</v>
      </c>
      <c r="E38" s="4" t="s">
        <v>17</v>
      </c>
      <c r="F38" s="3" t="s">
        <v>270</v>
      </c>
      <c r="G38" s="3" t="s">
        <v>271</v>
      </c>
      <c r="H38" s="3" t="s">
        <v>272</v>
      </c>
      <c r="I38" s="3" t="s">
        <v>273</v>
      </c>
      <c r="J38" s="4" t="s">
        <v>243</v>
      </c>
      <c r="K38" s="5" t="s">
        <v>1029</v>
      </c>
      <c r="L38" s="6" t="s">
        <v>24</v>
      </c>
      <c r="M38" s="5" t="s">
        <v>36</v>
      </c>
    </row>
    <row r="39" spans="1:13" ht="57.6" customHeight="1" x14ac:dyDescent="0.3">
      <c r="A39" s="2" t="s">
        <v>274</v>
      </c>
      <c r="B39" s="3" t="s">
        <v>275</v>
      </c>
      <c r="C39" s="3" t="s">
        <v>276</v>
      </c>
      <c r="D39" s="3" t="s">
        <v>238</v>
      </c>
      <c r="E39" s="4" t="s">
        <v>17</v>
      </c>
      <c r="F39" s="3" t="s">
        <v>277</v>
      </c>
      <c r="G39" s="3" t="s">
        <v>278</v>
      </c>
      <c r="H39" s="3" t="s">
        <v>272</v>
      </c>
      <c r="I39" s="3" t="s">
        <v>279</v>
      </c>
      <c r="J39" s="4" t="s">
        <v>280</v>
      </c>
      <c r="K39" s="5" t="s">
        <v>281</v>
      </c>
      <c r="L39" s="6" t="s">
        <v>113</v>
      </c>
      <c r="M39" s="5" t="s">
        <v>25</v>
      </c>
    </row>
    <row r="40" spans="1:13" ht="81" customHeight="1" x14ac:dyDescent="0.3">
      <c r="A40" s="2" t="s">
        <v>282</v>
      </c>
      <c r="B40" s="3" t="s">
        <v>275</v>
      </c>
      <c r="C40" s="3" t="s">
        <v>283</v>
      </c>
      <c r="D40" s="3" t="s">
        <v>16</v>
      </c>
      <c r="E40" s="4" t="s">
        <v>17</v>
      </c>
      <c r="F40" s="3" t="s">
        <v>284</v>
      </c>
      <c r="G40" s="3" t="s">
        <v>285</v>
      </c>
      <c r="H40" s="3" t="s">
        <v>286</v>
      </c>
      <c r="I40" s="3" t="s">
        <v>287</v>
      </c>
      <c r="J40" s="4" t="s">
        <v>280</v>
      </c>
      <c r="K40" s="5" t="s">
        <v>1028</v>
      </c>
      <c r="L40" s="6" t="s">
        <v>113</v>
      </c>
      <c r="M40" s="5" t="s">
        <v>25</v>
      </c>
    </row>
    <row r="41" spans="1:13" ht="67.8" customHeight="1" x14ac:dyDescent="0.3">
      <c r="A41" s="2" t="s">
        <v>288</v>
      </c>
      <c r="B41" s="3" t="s">
        <v>275</v>
      </c>
      <c r="C41" s="3" t="s">
        <v>289</v>
      </c>
      <c r="D41" s="3" t="s">
        <v>238</v>
      </c>
      <c r="E41" s="4" t="s">
        <v>17</v>
      </c>
      <c r="F41" s="3" t="s">
        <v>290</v>
      </c>
      <c r="G41" s="3" t="s">
        <v>291</v>
      </c>
      <c r="H41" s="3" t="s">
        <v>292</v>
      </c>
      <c r="I41" s="3" t="s">
        <v>293</v>
      </c>
      <c r="J41" s="4" t="s">
        <v>280</v>
      </c>
      <c r="K41" s="5" t="s">
        <v>1027</v>
      </c>
      <c r="L41" s="6" t="s">
        <v>113</v>
      </c>
      <c r="M41" s="5" t="s">
        <v>25</v>
      </c>
    </row>
    <row r="42" spans="1:13" ht="75" customHeight="1" x14ac:dyDescent="0.3">
      <c r="A42" s="2" t="s">
        <v>294</v>
      </c>
      <c r="B42" s="3" t="s">
        <v>275</v>
      </c>
      <c r="C42" s="3" t="s">
        <v>295</v>
      </c>
      <c r="D42" s="3" t="s">
        <v>238</v>
      </c>
      <c r="E42" s="4" t="s">
        <v>17</v>
      </c>
      <c r="F42" s="3" t="s">
        <v>296</v>
      </c>
      <c r="G42" s="3" t="s">
        <v>297</v>
      </c>
      <c r="H42" s="3" t="s">
        <v>298</v>
      </c>
      <c r="I42" s="3" t="s">
        <v>299</v>
      </c>
      <c r="J42" s="4" t="s">
        <v>280</v>
      </c>
      <c r="K42" s="5" t="s">
        <v>1027</v>
      </c>
      <c r="L42" s="6" t="s">
        <v>113</v>
      </c>
      <c r="M42" s="5" t="s">
        <v>25</v>
      </c>
    </row>
    <row r="43" spans="1:13" ht="58.8" customHeight="1" x14ac:dyDescent="0.3">
      <c r="A43" s="2" t="s">
        <v>300</v>
      </c>
      <c r="B43" s="3" t="s">
        <v>275</v>
      </c>
      <c r="C43" s="3" t="s">
        <v>301</v>
      </c>
      <c r="D43" s="3" t="s">
        <v>238</v>
      </c>
      <c r="E43" s="4" t="s">
        <v>46</v>
      </c>
      <c r="F43" s="3" t="s">
        <v>302</v>
      </c>
      <c r="G43" s="3" t="s">
        <v>303</v>
      </c>
      <c r="H43" s="3" t="s">
        <v>304</v>
      </c>
      <c r="I43" s="3" t="s">
        <v>305</v>
      </c>
      <c r="J43" s="4" t="s">
        <v>280</v>
      </c>
      <c r="K43" s="5" t="s">
        <v>1026</v>
      </c>
      <c r="L43" s="6" t="s">
        <v>113</v>
      </c>
      <c r="M43" s="5" t="s">
        <v>25</v>
      </c>
    </row>
    <row r="44" spans="1:13" ht="55.2" customHeight="1" x14ac:dyDescent="0.3">
      <c r="A44" s="2" t="s">
        <v>306</v>
      </c>
      <c r="B44" s="3" t="s">
        <v>307</v>
      </c>
      <c r="C44" s="3" t="s">
        <v>308</v>
      </c>
      <c r="D44" s="3" t="s">
        <v>82</v>
      </c>
      <c r="E44" s="4" t="s">
        <v>17</v>
      </c>
      <c r="F44" s="3" t="s">
        <v>309</v>
      </c>
      <c r="G44" s="3" t="s">
        <v>310</v>
      </c>
      <c r="H44" s="3" t="s">
        <v>311</v>
      </c>
      <c r="I44" s="3" t="s">
        <v>312</v>
      </c>
      <c r="J44" s="4" t="s">
        <v>313</v>
      </c>
      <c r="K44" s="5" t="s">
        <v>314</v>
      </c>
      <c r="L44" s="6" t="s">
        <v>24</v>
      </c>
      <c r="M44" s="5" t="s">
        <v>36</v>
      </c>
    </row>
    <row r="45" spans="1:13" ht="84" customHeight="1" x14ac:dyDescent="0.3">
      <c r="A45" s="2" t="s">
        <v>315</v>
      </c>
      <c r="B45" s="3" t="s">
        <v>307</v>
      </c>
      <c r="C45" s="3" t="s">
        <v>316</v>
      </c>
      <c r="D45" s="3" t="s">
        <v>82</v>
      </c>
      <c r="E45" s="4" t="s">
        <v>46</v>
      </c>
      <c r="F45" s="3" t="s">
        <v>317</v>
      </c>
      <c r="G45" s="3" t="s">
        <v>318</v>
      </c>
      <c r="H45" s="3" t="s">
        <v>319</v>
      </c>
      <c r="I45" s="3" t="s">
        <v>320</v>
      </c>
      <c r="J45" s="4" t="s">
        <v>313</v>
      </c>
      <c r="K45" s="5" t="s">
        <v>1025</v>
      </c>
      <c r="L45" s="6" t="s">
        <v>24</v>
      </c>
      <c r="M45" s="5" t="s">
        <v>36</v>
      </c>
    </row>
  </sheetData>
  <autoFilter ref="A1:M45" xr:uid="{00000000-0009-0000-0000-000005000000}"/>
  <conditionalFormatting sqref="L2:L45">
    <cfRule type="cellIs" dxfId="8" priority="2" operator="equal">
      <formula>"Pass"</formula>
    </cfRule>
    <cfRule type="cellIs" dxfId="7" priority="3" operator="equal">
      <formula>"Fail"</formula>
    </cfRule>
    <cfRule type="cellIs" dxfId="6" priority="4" operator="equal">
      <formula>"Blocked"</formula>
    </cfRule>
  </conditionalFormatting>
  <dataValidations count="1">
    <dataValidation type="list" errorTitle="Invalid status" error="Choose Pass, Fail, Blocked or Not Run." sqref="L2:L45" xr:uid="{00000000-0002-0000-0500-000000000000}">
      <formula1>"Pass,Fail,Blocked,Not Run,Run"</formula1>
    </dataValidation>
  </dataValidations>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45"/>
  <sheetViews>
    <sheetView zoomScaleNormal="100" workbookViewId="0">
      <pane xSplit="3" ySplit="1" topLeftCell="H33" activePane="bottomRight" state="frozen"/>
      <selection pane="topRight"/>
      <selection pane="bottomLeft"/>
      <selection pane="bottomRight" activeCell="L33" sqref="L33"/>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375" customHeight="1" x14ac:dyDescent="0.3">
      <c r="A2" s="2" t="s">
        <v>753</v>
      </c>
      <c r="B2" s="3" t="s">
        <v>14</v>
      </c>
      <c r="C2" s="3" t="s">
        <v>15</v>
      </c>
      <c r="D2" s="3" t="s">
        <v>16</v>
      </c>
      <c r="E2" s="4" t="s">
        <v>17</v>
      </c>
      <c r="F2" s="3" t="s">
        <v>754</v>
      </c>
      <c r="G2" s="3" t="s">
        <v>19</v>
      </c>
      <c r="H2" s="3" t="s">
        <v>755</v>
      </c>
      <c r="I2" s="3" t="s">
        <v>21</v>
      </c>
      <c r="J2" s="4" t="s">
        <v>22</v>
      </c>
      <c r="K2" s="5" t="s">
        <v>756</v>
      </c>
      <c r="L2" s="6" t="s">
        <v>24</v>
      </c>
      <c r="M2" s="5" t="s">
        <v>36</v>
      </c>
    </row>
    <row r="3" spans="1:13" ht="49.95" customHeight="1" x14ac:dyDescent="0.3">
      <c r="A3" s="2" t="s">
        <v>757</v>
      </c>
      <c r="B3" s="3" t="s">
        <v>27</v>
      </c>
      <c r="C3" s="3" t="s">
        <v>28</v>
      </c>
      <c r="D3" s="3" t="s">
        <v>29</v>
      </c>
      <c r="E3" s="4" t="s">
        <v>17</v>
      </c>
      <c r="F3" s="3" t="s">
        <v>758</v>
      </c>
      <c r="G3" s="3" t="s">
        <v>31</v>
      </c>
      <c r="H3" s="3" t="s">
        <v>32</v>
      </c>
      <c r="I3" s="3" t="s">
        <v>33</v>
      </c>
      <c r="J3" s="4" t="s">
        <v>34</v>
      </c>
      <c r="K3" s="5" t="s">
        <v>759</v>
      </c>
      <c r="L3" s="6" t="s">
        <v>24</v>
      </c>
      <c r="M3" s="5" t="s">
        <v>25</v>
      </c>
    </row>
    <row r="4" spans="1:13" ht="287.55" customHeight="1" x14ac:dyDescent="0.3">
      <c r="A4" s="2" t="s">
        <v>760</v>
      </c>
      <c r="B4" s="3" t="s">
        <v>27</v>
      </c>
      <c r="C4" s="3" t="s">
        <v>38</v>
      </c>
      <c r="D4" s="3" t="s">
        <v>29</v>
      </c>
      <c r="E4" s="4" t="s">
        <v>17</v>
      </c>
      <c r="F4" s="3" t="s">
        <v>758</v>
      </c>
      <c r="G4" s="3" t="s">
        <v>39</v>
      </c>
      <c r="H4" s="3" t="s">
        <v>761</v>
      </c>
      <c r="I4" s="3" t="s">
        <v>41</v>
      </c>
      <c r="J4" s="4" t="s">
        <v>34</v>
      </c>
      <c r="K4" s="5" t="s">
        <v>762</v>
      </c>
      <c r="L4" s="6" t="s">
        <v>24</v>
      </c>
      <c r="M4" s="5" t="s">
        <v>25</v>
      </c>
    </row>
    <row r="5" spans="1:13" ht="37.5" customHeight="1" x14ac:dyDescent="0.3">
      <c r="A5" s="2" t="s">
        <v>763</v>
      </c>
      <c r="B5" s="3" t="s">
        <v>44</v>
      </c>
      <c r="C5" s="3" t="s">
        <v>45</v>
      </c>
      <c r="D5" s="3" t="s">
        <v>29</v>
      </c>
      <c r="E5" s="4" t="s">
        <v>46</v>
      </c>
      <c r="F5" s="3" t="s">
        <v>758</v>
      </c>
      <c r="G5" s="3" t="s">
        <v>47</v>
      </c>
      <c r="H5" s="3" t="s">
        <v>764</v>
      </c>
      <c r="I5" s="3" t="s">
        <v>49</v>
      </c>
      <c r="J5" s="4" t="s">
        <v>50</v>
      </c>
      <c r="K5" s="5" t="s">
        <v>765</v>
      </c>
      <c r="L5" s="6" t="s">
        <v>24</v>
      </c>
      <c r="M5" s="5" t="s">
        <v>36</v>
      </c>
    </row>
    <row r="6" spans="1:13" ht="49.95" customHeight="1" x14ac:dyDescent="0.3">
      <c r="A6" s="2" t="s">
        <v>766</v>
      </c>
      <c r="B6" s="3" t="s">
        <v>44</v>
      </c>
      <c r="C6" s="3" t="s">
        <v>53</v>
      </c>
      <c r="D6" s="3" t="s">
        <v>29</v>
      </c>
      <c r="E6" s="4" t="s">
        <v>54</v>
      </c>
      <c r="F6" s="3" t="s">
        <v>754</v>
      </c>
      <c r="G6" s="3" t="s">
        <v>47</v>
      </c>
      <c r="H6" s="3" t="s">
        <v>767</v>
      </c>
      <c r="I6" s="3" t="s">
        <v>56</v>
      </c>
      <c r="J6" s="4" t="s">
        <v>50</v>
      </c>
      <c r="K6" s="5" t="s">
        <v>768</v>
      </c>
      <c r="L6" s="6" t="s">
        <v>24</v>
      </c>
      <c r="M6" s="5" t="s">
        <v>25</v>
      </c>
    </row>
    <row r="7" spans="1:13" ht="75" customHeight="1" x14ac:dyDescent="0.3">
      <c r="A7" s="2" t="s">
        <v>769</v>
      </c>
      <c r="B7" s="3" t="s">
        <v>44</v>
      </c>
      <c r="C7" s="3" t="s">
        <v>59</v>
      </c>
      <c r="D7" s="3" t="s">
        <v>60</v>
      </c>
      <c r="E7" s="4" t="s">
        <v>46</v>
      </c>
      <c r="F7" s="3" t="s">
        <v>754</v>
      </c>
      <c r="G7" s="3" t="s">
        <v>61</v>
      </c>
      <c r="H7" s="3" t="s">
        <v>770</v>
      </c>
      <c r="I7" s="3" t="s">
        <v>63</v>
      </c>
      <c r="J7" s="4" t="s">
        <v>50</v>
      </c>
      <c r="K7" s="5" t="s">
        <v>771</v>
      </c>
      <c r="L7" s="6" t="s">
        <v>24</v>
      </c>
      <c r="M7" s="5" t="s">
        <v>36</v>
      </c>
    </row>
    <row r="8" spans="1:13" ht="100.05" customHeight="1" x14ac:dyDescent="0.3">
      <c r="A8" s="2" t="s">
        <v>772</v>
      </c>
      <c r="B8" s="3" t="s">
        <v>66</v>
      </c>
      <c r="C8" s="3" t="s">
        <v>67</v>
      </c>
      <c r="D8" s="3" t="s">
        <v>29</v>
      </c>
      <c r="E8" s="4" t="s">
        <v>17</v>
      </c>
      <c r="F8" s="3" t="s">
        <v>758</v>
      </c>
      <c r="G8" s="3" t="s">
        <v>68</v>
      </c>
      <c r="H8" s="3" t="s">
        <v>773</v>
      </c>
      <c r="I8" s="3" t="s">
        <v>70</v>
      </c>
      <c r="J8" s="4" t="s">
        <v>71</v>
      </c>
      <c r="K8" s="5" t="s">
        <v>774</v>
      </c>
      <c r="L8" s="6" t="s">
        <v>24</v>
      </c>
      <c r="M8" s="5" t="s">
        <v>36</v>
      </c>
    </row>
    <row r="9" spans="1:13" ht="62.55" customHeight="1" x14ac:dyDescent="0.3">
      <c r="A9" s="2" t="s">
        <v>775</v>
      </c>
      <c r="B9" s="3" t="s">
        <v>66</v>
      </c>
      <c r="C9" s="3" t="s">
        <v>74</v>
      </c>
      <c r="D9" s="3" t="s">
        <v>29</v>
      </c>
      <c r="E9" s="4" t="s">
        <v>17</v>
      </c>
      <c r="F9" s="3" t="s">
        <v>776</v>
      </c>
      <c r="G9" s="3" t="s">
        <v>76</v>
      </c>
      <c r="H9" s="3" t="s">
        <v>777</v>
      </c>
      <c r="I9" s="3" t="s">
        <v>78</v>
      </c>
      <c r="J9" s="4" t="s">
        <v>71</v>
      </c>
      <c r="K9" s="5" t="s">
        <v>778</v>
      </c>
      <c r="L9" s="6" t="s">
        <v>24</v>
      </c>
      <c r="M9" s="5" t="s">
        <v>36</v>
      </c>
    </row>
    <row r="10" spans="1:13" ht="62.55" customHeight="1" x14ac:dyDescent="0.3">
      <c r="A10" s="2" t="s">
        <v>779</v>
      </c>
      <c r="B10" s="3" t="s">
        <v>66</v>
      </c>
      <c r="C10" s="3" t="s">
        <v>81</v>
      </c>
      <c r="D10" s="3" t="s">
        <v>82</v>
      </c>
      <c r="E10" s="4" t="s">
        <v>46</v>
      </c>
      <c r="F10" s="3" t="s">
        <v>776</v>
      </c>
      <c r="G10" s="3" t="s">
        <v>83</v>
      </c>
      <c r="H10" s="3" t="s">
        <v>780</v>
      </c>
      <c r="I10" s="3" t="s">
        <v>85</v>
      </c>
      <c r="J10" s="4" t="s">
        <v>71</v>
      </c>
      <c r="K10" s="5" t="s">
        <v>85</v>
      </c>
      <c r="L10" s="6" t="s">
        <v>113</v>
      </c>
      <c r="M10" s="5" t="s">
        <v>36</v>
      </c>
    </row>
    <row r="11" spans="1:13" ht="49.95" customHeight="1" x14ac:dyDescent="0.3">
      <c r="A11" s="2" t="s">
        <v>781</v>
      </c>
      <c r="B11" s="3" t="s">
        <v>66</v>
      </c>
      <c r="C11" s="3" t="s">
        <v>88</v>
      </c>
      <c r="D11" s="3" t="s">
        <v>82</v>
      </c>
      <c r="E11" s="4" t="s">
        <v>54</v>
      </c>
      <c r="F11" s="3" t="s">
        <v>754</v>
      </c>
      <c r="G11" s="3" t="s">
        <v>89</v>
      </c>
      <c r="H11" s="3" t="s">
        <v>782</v>
      </c>
      <c r="I11" s="3" t="s">
        <v>783</v>
      </c>
      <c r="J11" s="4" t="s">
        <v>71</v>
      </c>
      <c r="K11" s="5" t="s">
        <v>784</v>
      </c>
      <c r="L11" s="6" t="s">
        <v>113</v>
      </c>
      <c r="M11" s="5" t="s">
        <v>36</v>
      </c>
    </row>
    <row r="12" spans="1:13" ht="49.95" customHeight="1" x14ac:dyDescent="0.3">
      <c r="A12" s="2" t="s">
        <v>785</v>
      </c>
      <c r="B12" s="3" t="s">
        <v>94</v>
      </c>
      <c r="C12" s="3" t="s">
        <v>95</v>
      </c>
      <c r="D12" s="3" t="s">
        <v>29</v>
      </c>
      <c r="E12" s="4" t="s">
        <v>17</v>
      </c>
      <c r="F12" s="3" t="s">
        <v>758</v>
      </c>
      <c r="G12" s="3" t="s">
        <v>96</v>
      </c>
      <c r="H12" s="3" t="s">
        <v>97</v>
      </c>
      <c r="I12" s="3" t="s">
        <v>98</v>
      </c>
      <c r="J12" s="4" t="s">
        <v>99</v>
      </c>
      <c r="K12" s="5" t="s">
        <v>786</v>
      </c>
      <c r="L12" s="6" t="s">
        <v>24</v>
      </c>
      <c r="M12" s="5" t="s">
        <v>36</v>
      </c>
    </row>
    <row r="13" spans="1:13" ht="49.95" customHeight="1" x14ac:dyDescent="0.3">
      <c r="A13" s="2" t="s">
        <v>787</v>
      </c>
      <c r="B13" s="3" t="s">
        <v>94</v>
      </c>
      <c r="C13" s="3" t="s">
        <v>102</v>
      </c>
      <c r="D13" s="3" t="s">
        <v>60</v>
      </c>
      <c r="E13" s="4" t="s">
        <v>17</v>
      </c>
      <c r="F13" s="3" t="s">
        <v>754</v>
      </c>
      <c r="G13" s="3" t="s">
        <v>96</v>
      </c>
      <c r="H13" s="3" t="s">
        <v>103</v>
      </c>
      <c r="I13" s="3" t="s">
        <v>104</v>
      </c>
      <c r="J13" s="4" t="s">
        <v>99</v>
      </c>
      <c r="K13" s="5" t="s">
        <v>104</v>
      </c>
      <c r="L13" s="6" t="s">
        <v>24</v>
      </c>
      <c r="M13" s="5" t="s">
        <v>36</v>
      </c>
    </row>
    <row r="14" spans="1:13" ht="37.5" customHeight="1" x14ac:dyDescent="0.3">
      <c r="A14" s="2" t="s">
        <v>788</v>
      </c>
      <c r="B14" s="3" t="s">
        <v>94</v>
      </c>
      <c r="C14" s="3" t="s">
        <v>107</v>
      </c>
      <c r="D14" s="3" t="s">
        <v>29</v>
      </c>
      <c r="E14" s="4" t="s">
        <v>46</v>
      </c>
      <c r="F14" s="3" t="s">
        <v>789</v>
      </c>
      <c r="G14" s="3" t="s">
        <v>109</v>
      </c>
      <c r="H14" s="3" t="s">
        <v>790</v>
      </c>
      <c r="I14" s="3" t="s">
        <v>111</v>
      </c>
      <c r="J14" s="4" t="s">
        <v>99</v>
      </c>
      <c r="K14" s="5" t="s">
        <v>111</v>
      </c>
      <c r="L14" s="6" t="s">
        <v>24</v>
      </c>
      <c r="M14" s="5" t="s">
        <v>36</v>
      </c>
    </row>
    <row r="15" spans="1:13" ht="49.95" customHeight="1" x14ac:dyDescent="0.3">
      <c r="A15" s="2" t="s">
        <v>791</v>
      </c>
      <c r="B15" s="3" t="s">
        <v>94</v>
      </c>
      <c r="C15" s="3" t="s">
        <v>115</v>
      </c>
      <c r="D15" s="3" t="s">
        <v>82</v>
      </c>
      <c r="E15" s="4" t="s">
        <v>46</v>
      </c>
      <c r="F15" s="3" t="s">
        <v>789</v>
      </c>
      <c r="G15" s="3" t="s">
        <v>116</v>
      </c>
      <c r="H15" s="3" t="s">
        <v>792</v>
      </c>
      <c r="I15" s="3" t="s">
        <v>118</v>
      </c>
      <c r="J15" s="4" t="s">
        <v>99</v>
      </c>
      <c r="K15" s="22" t="s">
        <v>793</v>
      </c>
      <c r="L15" s="6" t="s">
        <v>24</v>
      </c>
      <c r="M15" s="5" t="s">
        <v>36</v>
      </c>
    </row>
    <row r="16" spans="1:13" ht="49.95" customHeight="1" x14ac:dyDescent="0.3">
      <c r="A16" s="2" t="s">
        <v>794</v>
      </c>
      <c r="B16" s="3" t="s">
        <v>121</v>
      </c>
      <c r="C16" s="3" t="s">
        <v>122</v>
      </c>
      <c r="D16" s="3" t="s">
        <v>60</v>
      </c>
      <c r="E16" s="4" t="s">
        <v>17</v>
      </c>
      <c r="F16" s="3" t="s">
        <v>754</v>
      </c>
      <c r="G16" s="3" t="s">
        <v>123</v>
      </c>
      <c r="H16" s="3" t="s">
        <v>795</v>
      </c>
      <c r="I16" s="3" t="s">
        <v>125</v>
      </c>
      <c r="J16" s="4" t="s">
        <v>126</v>
      </c>
      <c r="K16" s="5" t="s">
        <v>125</v>
      </c>
      <c r="L16" s="6" t="s">
        <v>24</v>
      </c>
      <c r="M16" s="5" t="s">
        <v>36</v>
      </c>
    </row>
    <row r="17" spans="1:13" ht="49.95" customHeight="1" x14ac:dyDescent="0.3">
      <c r="A17" s="2" t="s">
        <v>796</v>
      </c>
      <c r="B17" s="3" t="s">
        <v>121</v>
      </c>
      <c r="C17" s="3" t="s">
        <v>129</v>
      </c>
      <c r="D17" s="3" t="s">
        <v>130</v>
      </c>
      <c r="E17" s="4" t="s">
        <v>17</v>
      </c>
      <c r="F17" s="3" t="s">
        <v>758</v>
      </c>
      <c r="G17" s="3" t="s">
        <v>123</v>
      </c>
      <c r="H17" s="3" t="s">
        <v>797</v>
      </c>
      <c r="I17" s="3" t="s">
        <v>132</v>
      </c>
      <c r="J17" s="4" t="s">
        <v>126</v>
      </c>
      <c r="K17" s="5" t="s">
        <v>132</v>
      </c>
      <c r="L17" s="6" t="s">
        <v>24</v>
      </c>
      <c r="M17" s="5" t="s">
        <v>36</v>
      </c>
    </row>
    <row r="18" spans="1:13" ht="49.95" customHeight="1" x14ac:dyDescent="0.3">
      <c r="A18" s="2" t="s">
        <v>798</v>
      </c>
      <c r="B18" s="3" t="s">
        <v>121</v>
      </c>
      <c r="C18" s="3" t="s">
        <v>135</v>
      </c>
      <c r="D18" s="3" t="s">
        <v>29</v>
      </c>
      <c r="E18" s="4" t="s">
        <v>17</v>
      </c>
      <c r="F18" s="3" t="s">
        <v>758</v>
      </c>
      <c r="G18" s="3" t="s">
        <v>136</v>
      </c>
      <c r="H18" s="3" t="s">
        <v>799</v>
      </c>
      <c r="I18" s="3" t="s">
        <v>138</v>
      </c>
      <c r="J18" s="4" t="s">
        <v>126</v>
      </c>
      <c r="K18" s="5" t="s">
        <v>138</v>
      </c>
      <c r="L18" s="6" t="s">
        <v>24</v>
      </c>
      <c r="M18" s="5" t="s">
        <v>36</v>
      </c>
    </row>
    <row r="19" spans="1:13" ht="37.5" customHeight="1" x14ac:dyDescent="0.3">
      <c r="A19" s="2" t="s">
        <v>800</v>
      </c>
      <c r="B19" s="3" t="s">
        <v>121</v>
      </c>
      <c r="C19" s="3" t="s">
        <v>141</v>
      </c>
      <c r="D19" s="3" t="s">
        <v>82</v>
      </c>
      <c r="E19" s="4" t="s">
        <v>54</v>
      </c>
      <c r="F19" s="3" t="s">
        <v>758</v>
      </c>
      <c r="G19" s="3" t="s">
        <v>142</v>
      </c>
      <c r="H19" s="3" t="s">
        <v>801</v>
      </c>
      <c r="I19" s="3" t="s">
        <v>144</v>
      </c>
      <c r="J19" s="4" t="s">
        <v>126</v>
      </c>
      <c r="K19" s="5" t="s">
        <v>144</v>
      </c>
      <c r="L19" s="6" t="s">
        <v>24</v>
      </c>
      <c r="M19" s="5" t="s">
        <v>36</v>
      </c>
    </row>
    <row r="20" spans="1:13" ht="49.95" customHeight="1" x14ac:dyDescent="0.3">
      <c r="A20" s="2" t="s">
        <v>802</v>
      </c>
      <c r="B20" s="3" t="s">
        <v>147</v>
      </c>
      <c r="C20" s="3" t="s">
        <v>148</v>
      </c>
      <c r="D20" s="3" t="s">
        <v>29</v>
      </c>
      <c r="E20" s="4" t="s">
        <v>46</v>
      </c>
      <c r="F20" s="3" t="s">
        <v>758</v>
      </c>
      <c r="G20" s="3" t="s">
        <v>149</v>
      </c>
      <c r="H20" s="3" t="s">
        <v>150</v>
      </c>
      <c r="I20" s="3" t="s">
        <v>151</v>
      </c>
      <c r="J20" s="4" t="s">
        <v>34</v>
      </c>
      <c r="K20" s="5" t="s">
        <v>803</v>
      </c>
      <c r="L20" s="6" t="s">
        <v>24</v>
      </c>
      <c r="M20" s="5" t="s">
        <v>25</v>
      </c>
    </row>
    <row r="21" spans="1:13" ht="49.95" customHeight="1" x14ac:dyDescent="0.3">
      <c r="A21" s="2" t="s">
        <v>804</v>
      </c>
      <c r="B21" s="3" t="s">
        <v>14</v>
      </c>
      <c r="C21" s="3" t="s">
        <v>154</v>
      </c>
      <c r="D21" s="3" t="s">
        <v>82</v>
      </c>
      <c r="E21" s="4" t="s">
        <v>46</v>
      </c>
      <c r="F21" s="3" t="s">
        <v>754</v>
      </c>
      <c r="G21" s="3" t="s">
        <v>155</v>
      </c>
      <c r="H21" s="3" t="s">
        <v>156</v>
      </c>
      <c r="I21" s="3" t="s">
        <v>157</v>
      </c>
      <c r="J21" s="4" t="s">
        <v>71</v>
      </c>
      <c r="K21" s="5" t="s">
        <v>157</v>
      </c>
      <c r="L21" s="6" t="s">
        <v>24</v>
      </c>
      <c r="M21" s="5" t="s">
        <v>36</v>
      </c>
    </row>
    <row r="22" spans="1:13" ht="62.55" customHeight="1" x14ac:dyDescent="0.3">
      <c r="A22" s="2" t="s">
        <v>805</v>
      </c>
      <c r="B22" s="3" t="s">
        <v>806</v>
      </c>
      <c r="C22" s="3" t="s">
        <v>807</v>
      </c>
      <c r="D22" s="3" t="s">
        <v>29</v>
      </c>
      <c r="E22" s="4" t="s">
        <v>46</v>
      </c>
      <c r="F22" s="3" t="s">
        <v>776</v>
      </c>
      <c r="G22" s="3" t="s">
        <v>808</v>
      </c>
      <c r="H22" s="3" t="s">
        <v>809</v>
      </c>
      <c r="I22" s="3" t="s">
        <v>810</v>
      </c>
      <c r="J22" s="4" t="s">
        <v>165</v>
      </c>
      <c r="K22" s="5" t="s">
        <v>810</v>
      </c>
      <c r="L22" s="6" t="s">
        <v>24</v>
      </c>
      <c r="M22" s="5" t="s">
        <v>36</v>
      </c>
    </row>
    <row r="23" spans="1:13" ht="49.95" customHeight="1" x14ac:dyDescent="0.3">
      <c r="A23" s="2" t="s">
        <v>811</v>
      </c>
      <c r="B23" s="3" t="s">
        <v>806</v>
      </c>
      <c r="C23" s="3" t="s">
        <v>812</v>
      </c>
      <c r="D23" s="3" t="s">
        <v>29</v>
      </c>
      <c r="E23" s="4" t="s">
        <v>46</v>
      </c>
      <c r="F23" s="3" t="s">
        <v>758</v>
      </c>
      <c r="G23" s="3" t="s">
        <v>813</v>
      </c>
      <c r="H23" s="3" t="s">
        <v>814</v>
      </c>
      <c r="I23" s="3" t="s">
        <v>815</v>
      </c>
      <c r="J23" s="4" t="s">
        <v>165</v>
      </c>
      <c r="K23" s="5" t="s">
        <v>815</v>
      </c>
      <c r="L23" s="6" t="s">
        <v>24</v>
      </c>
      <c r="M23" s="5" t="s">
        <v>36</v>
      </c>
    </row>
    <row r="24" spans="1:13" ht="62.55" customHeight="1" x14ac:dyDescent="0.3">
      <c r="A24" s="2" t="s">
        <v>816</v>
      </c>
      <c r="B24" s="3" t="s">
        <v>806</v>
      </c>
      <c r="C24" s="3" t="s">
        <v>817</v>
      </c>
      <c r="D24" s="3" t="s">
        <v>29</v>
      </c>
      <c r="E24" s="4" t="s">
        <v>46</v>
      </c>
      <c r="F24" s="3" t="s">
        <v>776</v>
      </c>
      <c r="G24" s="3" t="s">
        <v>818</v>
      </c>
      <c r="H24" s="3" t="s">
        <v>819</v>
      </c>
      <c r="I24" s="3" t="s">
        <v>820</v>
      </c>
      <c r="J24" s="4" t="s">
        <v>165</v>
      </c>
      <c r="K24" s="5" t="s">
        <v>820</v>
      </c>
      <c r="L24" s="6" t="s">
        <v>24</v>
      </c>
      <c r="M24" s="5" t="s">
        <v>36</v>
      </c>
    </row>
    <row r="25" spans="1:13" ht="49.95" customHeight="1" x14ac:dyDescent="0.3">
      <c r="A25" s="2" t="s">
        <v>821</v>
      </c>
      <c r="B25" s="3" t="s">
        <v>806</v>
      </c>
      <c r="C25" s="3" t="s">
        <v>822</v>
      </c>
      <c r="D25" s="3" t="s">
        <v>29</v>
      </c>
      <c r="E25" s="4" t="s">
        <v>54</v>
      </c>
      <c r="F25" s="3" t="s">
        <v>754</v>
      </c>
      <c r="G25" s="3" t="s">
        <v>823</v>
      </c>
      <c r="H25" s="3" t="s">
        <v>824</v>
      </c>
      <c r="I25" s="3" t="s">
        <v>825</v>
      </c>
      <c r="J25" s="4" t="s">
        <v>34</v>
      </c>
      <c r="K25" s="5" t="s">
        <v>825</v>
      </c>
      <c r="L25" s="6" t="s">
        <v>24</v>
      </c>
      <c r="M25" s="5" t="s">
        <v>36</v>
      </c>
    </row>
    <row r="26" spans="1:13" ht="49.95" customHeight="1" x14ac:dyDescent="0.3">
      <c r="A26" s="2" t="s">
        <v>826</v>
      </c>
      <c r="B26" s="3" t="s">
        <v>174</v>
      </c>
      <c r="C26" s="3" t="s">
        <v>188</v>
      </c>
      <c r="D26" s="3" t="s">
        <v>60</v>
      </c>
      <c r="E26" s="4" t="s">
        <v>17</v>
      </c>
      <c r="F26" s="3" t="s">
        <v>758</v>
      </c>
      <c r="G26" s="3" t="s">
        <v>189</v>
      </c>
      <c r="H26" s="3" t="s">
        <v>190</v>
      </c>
      <c r="I26" s="3" t="s">
        <v>191</v>
      </c>
      <c r="J26" s="4" t="s">
        <v>192</v>
      </c>
      <c r="K26" s="5" t="s">
        <v>191</v>
      </c>
      <c r="L26" s="6" t="s">
        <v>24</v>
      </c>
      <c r="M26" s="5" t="s">
        <v>36</v>
      </c>
    </row>
    <row r="27" spans="1:13" ht="37.5" customHeight="1" x14ac:dyDescent="0.3">
      <c r="A27" s="2" t="s">
        <v>827</v>
      </c>
      <c r="B27" s="3" t="s">
        <v>174</v>
      </c>
      <c r="C27" s="3" t="s">
        <v>195</v>
      </c>
      <c r="D27" s="3" t="s">
        <v>29</v>
      </c>
      <c r="E27" s="4" t="s">
        <v>46</v>
      </c>
      <c r="F27" s="3" t="s">
        <v>828</v>
      </c>
      <c r="G27" s="3" t="s">
        <v>197</v>
      </c>
      <c r="H27" s="3" t="s">
        <v>829</v>
      </c>
      <c r="I27" s="3" t="s">
        <v>199</v>
      </c>
      <c r="J27" s="4" t="s">
        <v>192</v>
      </c>
      <c r="K27" s="5" t="s">
        <v>199</v>
      </c>
      <c r="L27" s="6" t="s">
        <v>24</v>
      </c>
      <c r="M27" s="5" t="s">
        <v>36</v>
      </c>
    </row>
    <row r="28" spans="1:13" ht="75" customHeight="1" x14ac:dyDescent="0.3">
      <c r="A28" s="2" t="s">
        <v>830</v>
      </c>
      <c r="B28" s="3" t="s">
        <v>831</v>
      </c>
      <c r="C28" s="3" t="s">
        <v>203</v>
      </c>
      <c r="D28" s="3" t="s">
        <v>82</v>
      </c>
      <c r="E28" s="4" t="s">
        <v>46</v>
      </c>
      <c r="F28" s="3" t="s">
        <v>758</v>
      </c>
      <c r="G28" s="3" t="s">
        <v>204</v>
      </c>
      <c r="H28" s="3" t="s">
        <v>832</v>
      </c>
      <c r="I28" s="3" t="s">
        <v>833</v>
      </c>
      <c r="J28" s="4" t="s">
        <v>207</v>
      </c>
      <c r="K28" s="5" t="s">
        <v>833</v>
      </c>
      <c r="L28" s="6" t="s">
        <v>24</v>
      </c>
      <c r="M28" s="5" t="s">
        <v>36</v>
      </c>
    </row>
    <row r="29" spans="1:13" ht="49.95" customHeight="1" x14ac:dyDescent="0.3">
      <c r="A29" s="2" t="s">
        <v>834</v>
      </c>
      <c r="B29" s="3" t="s">
        <v>831</v>
      </c>
      <c r="C29" s="3" t="s">
        <v>210</v>
      </c>
      <c r="D29" s="3" t="s">
        <v>60</v>
      </c>
      <c r="E29" s="4" t="s">
        <v>46</v>
      </c>
      <c r="F29" s="3" t="s">
        <v>758</v>
      </c>
      <c r="G29" s="3" t="s">
        <v>211</v>
      </c>
      <c r="H29" s="3" t="s">
        <v>835</v>
      </c>
      <c r="I29" s="3" t="s">
        <v>213</v>
      </c>
      <c r="J29" s="4" t="s">
        <v>207</v>
      </c>
      <c r="K29" s="5" t="s">
        <v>213</v>
      </c>
      <c r="L29" s="6" t="s">
        <v>24</v>
      </c>
      <c r="M29" s="5" t="s">
        <v>36</v>
      </c>
    </row>
    <row r="30" spans="1:13" ht="87.45" customHeight="1" x14ac:dyDescent="0.3">
      <c r="A30" s="2" t="s">
        <v>836</v>
      </c>
      <c r="B30" s="3" t="s">
        <v>216</v>
      </c>
      <c r="C30" s="3" t="s">
        <v>217</v>
      </c>
      <c r="D30" s="3" t="s">
        <v>29</v>
      </c>
      <c r="E30" s="4" t="s">
        <v>17</v>
      </c>
      <c r="F30" s="3" t="s">
        <v>754</v>
      </c>
      <c r="G30" s="3" t="s">
        <v>218</v>
      </c>
      <c r="H30" s="3" t="s">
        <v>837</v>
      </c>
      <c r="I30" s="3" t="s">
        <v>220</v>
      </c>
      <c r="J30" s="4" t="s">
        <v>221</v>
      </c>
      <c r="K30" s="5" t="s">
        <v>220</v>
      </c>
      <c r="L30" s="6" t="s">
        <v>24</v>
      </c>
      <c r="M30" s="5" t="s">
        <v>36</v>
      </c>
    </row>
    <row r="31" spans="1:13" ht="49.95" customHeight="1" x14ac:dyDescent="0.3">
      <c r="A31" s="2" t="s">
        <v>838</v>
      </c>
      <c r="B31" s="3" t="s">
        <v>216</v>
      </c>
      <c r="C31" s="3" t="s">
        <v>224</v>
      </c>
      <c r="D31" s="3" t="s">
        <v>29</v>
      </c>
      <c r="E31" s="4" t="s">
        <v>17</v>
      </c>
      <c r="F31" s="3" t="s">
        <v>758</v>
      </c>
      <c r="G31" s="3" t="s">
        <v>839</v>
      </c>
      <c r="H31" s="3" t="s">
        <v>226</v>
      </c>
      <c r="I31" s="3" t="s">
        <v>227</v>
      </c>
      <c r="J31" s="4" t="s">
        <v>221</v>
      </c>
      <c r="K31" s="5" t="s">
        <v>227</v>
      </c>
      <c r="L31" s="6" t="s">
        <v>24</v>
      </c>
      <c r="M31" s="5" t="s">
        <v>36</v>
      </c>
    </row>
    <row r="32" spans="1:13" ht="49.95" customHeight="1" x14ac:dyDescent="0.3">
      <c r="A32" s="2" t="s">
        <v>840</v>
      </c>
      <c r="B32" s="3" t="s">
        <v>216</v>
      </c>
      <c r="C32" s="3" t="s">
        <v>230</v>
      </c>
      <c r="D32" s="3" t="s">
        <v>60</v>
      </c>
      <c r="E32" s="4" t="s">
        <v>17</v>
      </c>
      <c r="F32" s="3" t="s">
        <v>754</v>
      </c>
      <c r="G32" s="3" t="s">
        <v>841</v>
      </c>
      <c r="H32" s="3" t="s">
        <v>232</v>
      </c>
      <c r="I32" s="3" t="s">
        <v>233</v>
      </c>
      <c r="J32" s="4" t="s">
        <v>221</v>
      </c>
      <c r="K32" s="5" t="s">
        <v>233</v>
      </c>
      <c r="L32" s="6" t="s">
        <v>24</v>
      </c>
      <c r="M32" s="5" t="s">
        <v>36</v>
      </c>
    </row>
    <row r="33" spans="1:13" ht="75" customHeight="1" x14ac:dyDescent="0.3">
      <c r="A33" s="2" t="s">
        <v>842</v>
      </c>
      <c r="B33" s="3" t="s">
        <v>236</v>
      </c>
      <c r="C33" s="3" t="s">
        <v>237</v>
      </c>
      <c r="D33" s="3" t="s">
        <v>238</v>
      </c>
      <c r="E33" s="4" t="s">
        <v>17</v>
      </c>
      <c r="F33" s="3" t="s">
        <v>843</v>
      </c>
      <c r="G33" s="3" t="s">
        <v>240</v>
      </c>
      <c r="H33" s="3" t="s">
        <v>241</v>
      </c>
      <c r="I33" s="3" t="s">
        <v>242</v>
      </c>
      <c r="J33" s="4" t="s">
        <v>243</v>
      </c>
      <c r="K33" s="5" t="s">
        <v>242</v>
      </c>
      <c r="L33" s="6" t="s">
        <v>24</v>
      </c>
      <c r="M33" s="5" t="s">
        <v>36</v>
      </c>
    </row>
    <row r="34" spans="1:13" ht="75" customHeight="1" x14ac:dyDescent="0.3">
      <c r="A34" s="2" t="s">
        <v>844</v>
      </c>
      <c r="B34" s="3" t="s">
        <v>236</v>
      </c>
      <c r="C34" s="3" t="s">
        <v>246</v>
      </c>
      <c r="D34" s="3" t="s">
        <v>29</v>
      </c>
      <c r="E34" s="4" t="s">
        <v>17</v>
      </c>
      <c r="F34" s="3" t="s">
        <v>843</v>
      </c>
      <c r="G34" s="3" t="s">
        <v>247</v>
      </c>
      <c r="H34" s="3" t="s">
        <v>248</v>
      </c>
      <c r="I34" s="3" t="s">
        <v>249</v>
      </c>
      <c r="J34" s="4" t="s">
        <v>250</v>
      </c>
      <c r="K34" s="5" t="s">
        <v>249</v>
      </c>
      <c r="L34" s="6" t="s">
        <v>24</v>
      </c>
      <c r="M34" s="5" t="s">
        <v>36</v>
      </c>
    </row>
    <row r="35" spans="1:13" ht="75" customHeight="1" x14ac:dyDescent="0.3">
      <c r="A35" s="2" t="s">
        <v>845</v>
      </c>
      <c r="B35" s="3" t="s">
        <v>236</v>
      </c>
      <c r="C35" s="3" t="s">
        <v>253</v>
      </c>
      <c r="D35" s="3" t="s">
        <v>29</v>
      </c>
      <c r="E35" s="4" t="s">
        <v>46</v>
      </c>
      <c r="F35" s="3" t="s">
        <v>843</v>
      </c>
      <c r="G35" s="3" t="s">
        <v>254</v>
      </c>
      <c r="H35" s="3" t="s">
        <v>255</v>
      </c>
      <c r="I35" s="3" t="s">
        <v>256</v>
      </c>
      <c r="J35" s="4" t="s">
        <v>250</v>
      </c>
      <c r="K35" s="5" t="s">
        <v>256</v>
      </c>
      <c r="L35" s="6" t="s">
        <v>24</v>
      </c>
      <c r="M35" s="5" t="s">
        <v>36</v>
      </c>
    </row>
    <row r="36" spans="1:13" ht="75" customHeight="1" x14ac:dyDescent="0.3">
      <c r="A36" s="2" t="s">
        <v>846</v>
      </c>
      <c r="B36" s="3" t="s">
        <v>236</v>
      </c>
      <c r="C36" s="3" t="s">
        <v>258</v>
      </c>
      <c r="D36" s="3" t="s">
        <v>60</v>
      </c>
      <c r="E36" s="4" t="s">
        <v>17</v>
      </c>
      <c r="F36" s="3" t="s">
        <v>843</v>
      </c>
      <c r="G36" s="3" t="s">
        <v>259</v>
      </c>
      <c r="H36" s="3" t="s">
        <v>260</v>
      </c>
      <c r="I36" s="3" t="s">
        <v>261</v>
      </c>
      <c r="J36" s="4" t="s">
        <v>250</v>
      </c>
      <c r="K36" s="5" t="s">
        <v>261</v>
      </c>
      <c r="L36" s="6" t="s">
        <v>24</v>
      </c>
      <c r="M36" s="5" t="s">
        <v>36</v>
      </c>
    </row>
    <row r="37" spans="1:13" ht="75" customHeight="1" x14ac:dyDescent="0.3">
      <c r="A37" s="2" t="s">
        <v>847</v>
      </c>
      <c r="B37" s="3" t="s">
        <v>236</v>
      </c>
      <c r="C37" s="3" t="s">
        <v>263</v>
      </c>
      <c r="D37" s="3" t="s">
        <v>238</v>
      </c>
      <c r="E37" s="4" t="s">
        <v>46</v>
      </c>
      <c r="F37" s="3" t="s">
        <v>843</v>
      </c>
      <c r="G37" s="3" t="s">
        <v>264</v>
      </c>
      <c r="H37" s="3" t="s">
        <v>265</v>
      </c>
      <c r="I37" s="3" t="s">
        <v>266</v>
      </c>
      <c r="J37" s="4" t="s">
        <v>250</v>
      </c>
      <c r="K37" s="5" t="s">
        <v>266</v>
      </c>
      <c r="L37" s="6" t="s">
        <v>24</v>
      </c>
      <c r="M37" s="5" t="s">
        <v>36</v>
      </c>
    </row>
    <row r="38" spans="1:13" ht="37.5" customHeight="1" x14ac:dyDescent="0.3">
      <c r="A38" s="2" t="s">
        <v>848</v>
      </c>
      <c r="B38" s="3" t="s">
        <v>236</v>
      </c>
      <c r="C38" s="3" t="s">
        <v>269</v>
      </c>
      <c r="D38" s="3" t="s">
        <v>238</v>
      </c>
      <c r="E38" s="4" t="s">
        <v>17</v>
      </c>
      <c r="F38" s="3" t="s">
        <v>849</v>
      </c>
      <c r="G38" s="3" t="s">
        <v>271</v>
      </c>
      <c r="H38" s="3" t="s">
        <v>850</v>
      </c>
      <c r="I38" s="3" t="s">
        <v>273</v>
      </c>
      <c r="J38" s="4" t="s">
        <v>243</v>
      </c>
      <c r="K38" s="5" t="s">
        <v>273</v>
      </c>
      <c r="L38" s="6" t="s">
        <v>24</v>
      </c>
      <c r="M38" s="5" t="s">
        <v>36</v>
      </c>
    </row>
    <row r="39" spans="1:13" ht="49.95" customHeight="1" x14ac:dyDescent="0.3">
      <c r="A39" s="2" t="s">
        <v>851</v>
      </c>
      <c r="B39" s="3" t="s">
        <v>275</v>
      </c>
      <c r="C39" s="3" t="s">
        <v>852</v>
      </c>
      <c r="D39" s="3" t="s">
        <v>238</v>
      </c>
      <c r="E39" s="4" t="s">
        <v>17</v>
      </c>
      <c r="F39" s="3" t="s">
        <v>853</v>
      </c>
      <c r="G39" s="3" t="s">
        <v>854</v>
      </c>
      <c r="H39" s="3" t="s">
        <v>850</v>
      </c>
      <c r="I39" s="3" t="s">
        <v>855</v>
      </c>
      <c r="J39" s="4" t="s">
        <v>280</v>
      </c>
      <c r="K39" s="5" t="s">
        <v>855</v>
      </c>
      <c r="L39" s="6" t="s">
        <v>24</v>
      </c>
      <c r="M39" s="5" t="s">
        <v>36</v>
      </c>
    </row>
    <row r="40" spans="1:13" ht="49.95" customHeight="1" x14ac:dyDescent="0.3">
      <c r="A40" s="2" t="s">
        <v>856</v>
      </c>
      <c r="B40" s="3" t="s">
        <v>275</v>
      </c>
      <c r="C40" s="3" t="s">
        <v>283</v>
      </c>
      <c r="D40" s="3" t="s">
        <v>16</v>
      </c>
      <c r="E40" s="4" t="s">
        <v>17</v>
      </c>
      <c r="F40" s="3" t="s">
        <v>857</v>
      </c>
      <c r="G40" s="3" t="s">
        <v>858</v>
      </c>
      <c r="H40" s="3" t="s">
        <v>859</v>
      </c>
      <c r="I40" s="3" t="s">
        <v>287</v>
      </c>
      <c r="J40" s="4" t="s">
        <v>280</v>
      </c>
      <c r="K40" s="5" t="s">
        <v>287</v>
      </c>
      <c r="L40" s="6" t="s">
        <v>24</v>
      </c>
      <c r="M40" s="5" t="s">
        <v>36</v>
      </c>
    </row>
    <row r="41" spans="1:13" ht="62.55" customHeight="1" x14ac:dyDescent="0.3">
      <c r="A41" s="2" t="s">
        <v>860</v>
      </c>
      <c r="B41" s="3" t="s">
        <v>275</v>
      </c>
      <c r="C41" s="3" t="s">
        <v>289</v>
      </c>
      <c r="D41" s="3" t="s">
        <v>238</v>
      </c>
      <c r="E41" s="4" t="s">
        <v>17</v>
      </c>
      <c r="F41" s="3" t="s">
        <v>861</v>
      </c>
      <c r="G41" s="3" t="s">
        <v>862</v>
      </c>
      <c r="H41" s="3" t="s">
        <v>863</v>
      </c>
      <c r="I41" s="3" t="s">
        <v>864</v>
      </c>
      <c r="J41" s="4" t="s">
        <v>280</v>
      </c>
      <c r="K41" s="5" t="s">
        <v>864</v>
      </c>
      <c r="L41" s="6" t="s">
        <v>24</v>
      </c>
      <c r="M41" s="5" t="s">
        <v>36</v>
      </c>
    </row>
    <row r="42" spans="1:13" ht="62.55" customHeight="1" x14ac:dyDescent="0.3">
      <c r="A42" s="2" t="s">
        <v>865</v>
      </c>
      <c r="B42" s="3" t="s">
        <v>275</v>
      </c>
      <c r="C42" s="3" t="s">
        <v>295</v>
      </c>
      <c r="D42" s="3" t="s">
        <v>238</v>
      </c>
      <c r="E42" s="4" t="s">
        <v>17</v>
      </c>
      <c r="F42" s="3" t="s">
        <v>866</v>
      </c>
      <c r="G42" s="3" t="s">
        <v>867</v>
      </c>
      <c r="H42" s="3" t="s">
        <v>868</v>
      </c>
      <c r="I42" s="3" t="s">
        <v>869</v>
      </c>
      <c r="J42" s="4" t="s">
        <v>280</v>
      </c>
      <c r="K42" s="5" t="s">
        <v>869</v>
      </c>
      <c r="L42" s="6" t="s">
        <v>24</v>
      </c>
      <c r="M42" s="5" t="s">
        <v>36</v>
      </c>
    </row>
    <row r="43" spans="1:13" ht="49.95" customHeight="1" x14ac:dyDescent="0.3">
      <c r="A43" s="2" t="s">
        <v>870</v>
      </c>
      <c r="B43" s="3" t="s">
        <v>275</v>
      </c>
      <c r="C43" s="3" t="s">
        <v>871</v>
      </c>
      <c r="D43" s="3" t="s">
        <v>238</v>
      </c>
      <c r="E43" s="4" t="s">
        <v>46</v>
      </c>
      <c r="F43" s="3" t="s">
        <v>872</v>
      </c>
      <c r="G43" s="3" t="s">
        <v>873</v>
      </c>
      <c r="H43" s="3" t="s">
        <v>874</v>
      </c>
      <c r="I43" s="3" t="s">
        <v>305</v>
      </c>
      <c r="J43" s="4" t="s">
        <v>280</v>
      </c>
      <c r="K43" s="5" t="s">
        <v>305</v>
      </c>
      <c r="L43" s="6" t="s">
        <v>24</v>
      </c>
      <c r="M43" s="5" t="s">
        <v>36</v>
      </c>
    </row>
    <row r="44" spans="1:13" ht="49.95" customHeight="1" x14ac:dyDescent="0.3">
      <c r="A44" s="2" t="s">
        <v>875</v>
      </c>
      <c r="B44" s="3" t="s">
        <v>307</v>
      </c>
      <c r="C44" s="3" t="s">
        <v>308</v>
      </c>
      <c r="D44" s="3" t="s">
        <v>82</v>
      </c>
      <c r="E44" s="4" t="s">
        <v>17</v>
      </c>
      <c r="F44" s="3" t="s">
        <v>309</v>
      </c>
      <c r="G44" s="3" t="s">
        <v>876</v>
      </c>
      <c r="H44" s="3" t="s">
        <v>877</v>
      </c>
      <c r="I44" s="3" t="s">
        <v>312</v>
      </c>
      <c r="J44" s="4" t="s">
        <v>313</v>
      </c>
      <c r="K44" s="5" t="s">
        <v>312</v>
      </c>
      <c r="L44" s="6" t="s">
        <v>24</v>
      </c>
      <c r="M44" s="5" t="s">
        <v>36</v>
      </c>
    </row>
    <row r="45" spans="1:13" ht="37.5" customHeight="1" x14ac:dyDescent="0.3">
      <c r="A45" s="2" t="s">
        <v>878</v>
      </c>
      <c r="B45" s="3" t="s">
        <v>307</v>
      </c>
      <c r="C45" s="3" t="s">
        <v>316</v>
      </c>
      <c r="D45" s="3" t="s">
        <v>82</v>
      </c>
      <c r="E45" s="4" t="s">
        <v>46</v>
      </c>
      <c r="F45" s="3" t="s">
        <v>879</v>
      </c>
      <c r="G45" s="3" t="s">
        <v>318</v>
      </c>
      <c r="H45" s="3" t="s">
        <v>880</v>
      </c>
      <c r="I45" s="3" t="s">
        <v>320</v>
      </c>
      <c r="J45" s="4" t="s">
        <v>313</v>
      </c>
      <c r="K45" s="5" t="s">
        <v>320</v>
      </c>
      <c r="L45" s="6" t="s">
        <v>24</v>
      </c>
      <c r="M45" s="5" t="s">
        <v>36</v>
      </c>
    </row>
  </sheetData>
  <autoFilter ref="A1:M45" xr:uid="{00000000-0009-0000-0000-000006000000}"/>
  <conditionalFormatting sqref="L2:L45">
    <cfRule type="cellIs" dxfId="5" priority="1" operator="equal">
      <formula>"Pass"</formula>
    </cfRule>
    <cfRule type="cellIs" dxfId="4" priority="2" operator="equal">
      <formula>"Fail"</formula>
    </cfRule>
    <cfRule type="cellIs" dxfId="3" priority="3" operator="equal">
      <formula>"Blocked"</formula>
    </cfRule>
  </conditionalFormatting>
  <dataValidations count="1">
    <dataValidation type="list" errorTitle="Invalid status" error="Choose Pass, Fail, Blocked or Not Run." sqref="L2:L45" xr:uid="{00000000-0002-0000-06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33"/>
  <sheetViews>
    <sheetView workbookViewId="0">
      <pane xSplit="3" ySplit="1" topLeftCell="D2" activePane="bottomRight" state="frozen"/>
      <selection pane="topRight"/>
      <selection pane="bottomLeft"/>
      <selection pane="bottomRight"/>
    </sheetView>
  </sheetViews>
  <sheetFormatPr defaultColWidth="8.6640625" defaultRowHeight="14.4" x14ac:dyDescent="0.3"/>
  <cols>
    <col min="1" max="1" width="12" customWidth="1"/>
    <col min="2" max="2" width="18" customWidth="1"/>
    <col min="3" max="3" width="28" customWidth="1"/>
    <col min="4" max="4" width="16" customWidth="1"/>
    <col min="5" max="5" width="9" customWidth="1"/>
    <col min="6" max="6" width="30" customWidth="1"/>
    <col min="7" max="7" width="40" customWidth="1"/>
    <col min="8" max="8" width="34" customWidth="1"/>
    <col min="9" max="9" width="44" customWidth="1"/>
    <col min="10" max="10" width="11" customWidth="1"/>
    <col min="11" max="11" width="30" customWidth="1"/>
    <col min="12" max="12" width="10" customWidth="1"/>
    <col min="13" max="13" width="24" customWidth="1"/>
  </cols>
  <sheetData>
    <row r="1" spans="1:13" ht="27.7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62.44999999999999" customHeight="1" x14ac:dyDescent="0.3">
      <c r="A2" s="2" t="s">
        <v>881</v>
      </c>
      <c r="B2" s="3" t="s">
        <v>882</v>
      </c>
      <c r="C2" s="3" t="s">
        <v>883</v>
      </c>
      <c r="D2" s="3" t="s">
        <v>16</v>
      </c>
      <c r="E2" s="4" t="s">
        <v>17</v>
      </c>
      <c r="F2" s="3" t="s">
        <v>884</v>
      </c>
      <c r="G2" s="3" t="s">
        <v>885</v>
      </c>
      <c r="H2" s="3" t="s">
        <v>886</v>
      </c>
      <c r="I2" s="3" t="s">
        <v>887</v>
      </c>
      <c r="J2" s="4" t="s">
        <v>888</v>
      </c>
      <c r="K2" s="5"/>
      <c r="L2" s="6" t="s">
        <v>113</v>
      </c>
      <c r="M2" s="5"/>
    </row>
    <row r="3" spans="1:13" ht="49.95" customHeight="1" x14ac:dyDescent="0.3">
      <c r="A3" s="2" t="s">
        <v>889</v>
      </c>
      <c r="B3" s="3" t="s">
        <v>27</v>
      </c>
      <c r="C3" s="3" t="s">
        <v>28</v>
      </c>
      <c r="D3" s="3" t="s">
        <v>29</v>
      </c>
      <c r="E3" s="4" t="s">
        <v>17</v>
      </c>
      <c r="F3" s="3" t="s">
        <v>890</v>
      </c>
      <c r="G3" s="3" t="s">
        <v>891</v>
      </c>
      <c r="H3" s="3" t="s">
        <v>32</v>
      </c>
      <c r="I3" s="3" t="s">
        <v>892</v>
      </c>
      <c r="J3" s="4" t="s">
        <v>34</v>
      </c>
      <c r="K3" s="5"/>
      <c r="L3" s="6" t="s">
        <v>113</v>
      </c>
      <c r="M3" s="5"/>
    </row>
    <row r="4" spans="1:13" ht="150" customHeight="1" x14ac:dyDescent="0.3">
      <c r="A4" s="2" t="s">
        <v>893</v>
      </c>
      <c r="B4" s="3" t="s">
        <v>27</v>
      </c>
      <c r="C4" s="3" t="s">
        <v>38</v>
      </c>
      <c r="D4" s="3" t="s">
        <v>29</v>
      </c>
      <c r="E4" s="4" t="s">
        <v>17</v>
      </c>
      <c r="F4" s="3" t="s">
        <v>890</v>
      </c>
      <c r="G4" s="3" t="s">
        <v>894</v>
      </c>
      <c r="H4" s="3" t="s">
        <v>895</v>
      </c>
      <c r="I4" s="3" t="s">
        <v>896</v>
      </c>
      <c r="J4" s="4" t="s">
        <v>34</v>
      </c>
      <c r="K4" s="5"/>
      <c r="L4" s="6" t="s">
        <v>113</v>
      </c>
      <c r="M4" s="5"/>
    </row>
    <row r="5" spans="1:13" ht="49.95" customHeight="1" x14ac:dyDescent="0.3">
      <c r="A5" s="2" t="s">
        <v>897</v>
      </c>
      <c r="B5" s="3" t="s">
        <v>44</v>
      </c>
      <c r="C5" s="3" t="s">
        <v>45</v>
      </c>
      <c r="D5" s="3" t="s">
        <v>29</v>
      </c>
      <c r="E5" s="4" t="s">
        <v>46</v>
      </c>
      <c r="F5" s="3" t="s">
        <v>890</v>
      </c>
      <c r="G5" s="3" t="s">
        <v>898</v>
      </c>
      <c r="H5" s="3" t="s">
        <v>899</v>
      </c>
      <c r="I5" s="3" t="s">
        <v>900</v>
      </c>
      <c r="J5" s="4" t="s">
        <v>50</v>
      </c>
      <c r="K5" s="5"/>
      <c r="L5" s="6" t="s">
        <v>113</v>
      </c>
      <c r="M5" s="5"/>
    </row>
    <row r="6" spans="1:13" ht="87.45" customHeight="1" x14ac:dyDescent="0.3">
      <c r="A6" s="2" t="s">
        <v>901</v>
      </c>
      <c r="B6" s="3" t="s">
        <v>44</v>
      </c>
      <c r="C6" s="3" t="s">
        <v>59</v>
      </c>
      <c r="D6" s="3" t="s">
        <v>60</v>
      </c>
      <c r="E6" s="4" t="s">
        <v>46</v>
      </c>
      <c r="F6" s="3" t="s">
        <v>884</v>
      </c>
      <c r="G6" s="3" t="s">
        <v>902</v>
      </c>
      <c r="H6" s="3" t="s">
        <v>903</v>
      </c>
      <c r="I6" s="3" t="s">
        <v>63</v>
      </c>
      <c r="J6" s="4" t="s">
        <v>50</v>
      </c>
      <c r="K6" s="5"/>
      <c r="L6" s="6" t="s">
        <v>113</v>
      </c>
      <c r="M6" s="5"/>
    </row>
    <row r="7" spans="1:13" ht="87.45" customHeight="1" x14ac:dyDescent="0.3">
      <c r="A7" s="2" t="s">
        <v>904</v>
      </c>
      <c r="B7" s="3" t="s">
        <v>385</v>
      </c>
      <c r="C7" s="3" t="s">
        <v>679</v>
      </c>
      <c r="D7" s="3" t="s">
        <v>60</v>
      </c>
      <c r="E7" s="4" t="s">
        <v>17</v>
      </c>
      <c r="F7" s="3" t="s">
        <v>884</v>
      </c>
      <c r="G7" s="3" t="s">
        <v>905</v>
      </c>
      <c r="H7" s="3" t="str">
        <f ca="1">"Born "&amp;TEXT(EDATE(TODAY(),-216)+1,"mm/dd/yyyy")&amp;" (17 years old, reject)"&amp;CHAR(10)&amp;"Born "&amp;TEXT(EDATE(TODAY(),-216),"mm/dd/yyyy")&amp;" (turns 18 today, accept)"&amp;CHAR(10)&amp;"Born "&amp;TEXT(EDATE(TODAY(),-216)-1,"mm/dd/yyyy")&amp;" (18 years and 1 day, accept)"</f>
        <v>Born 10/15/2008 (17 years old, reject)
Born 10/14/2008 (turns 18 today, accept)
Born 10/13/2008 (18 years and 1 day, accept)</v>
      </c>
      <c r="I7" s="3" t="s">
        <v>681</v>
      </c>
      <c r="J7" s="4" t="s">
        <v>633</v>
      </c>
      <c r="K7" s="5"/>
      <c r="L7" s="6" t="s">
        <v>113</v>
      </c>
      <c r="M7" s="5"/>
    </row>
    <row r="8" spans="1:13" ht="75" customHeight="1" x14ac:dyDescent="0.3">
      <c r="A8" s="2" t="s">
        <v>906</v>
      </c>
      <c r="B8" s="3" t="s">
        <v>66</v>
      </c>
      <c r="C8" s="3" t="s">
        <v>67</v>
      </c>
      <c r="D8" s="3" t="s">
        <v>29</v>
      </c>
      <c r="E8" s="4" t="s">
        <v>17</v>
      </c>
      <c r="F8" s="3" t="s">
        <v>890</v>
      </c>
      <c r="G8" s="3" t="s">
        <v>907</v>
      </c>
      <c r="H8" s="3" t="s">
        <v>908</v>
      </c>
      <c r="I8" s="3" t="s">
        <v>909</v>
      </c>
      <c r="J8" s="4" t="s">
        <v>71</v>
      </c>
      <c r="K8" s="5"/>
      <c r="L8" s="6" t="s">
        <v>113</v>
      </c>
      <c r="M8" s="5"/>
    </row>
    <row r="9" spans="1:13" ht="75" customHeight="1" x14ac:dyDescent="0.3">
      <c r="A9" s="2" t="s">
        <v>910</v>
      </c>
      <c r="B9" s="3" t="s">
        <v>66</v>
      </c>
      <c r="C9" s="3" t="s">
        <v>911</v>
      </c>
      <c r="D9" s="3" t="s">
        <v>29</v>
      </c>
      <c r="E9" s="4" t="s">
        <v>17</v>
      </c>
      <c r="F9" s="3" t="s">
        <v>912</v>
      </c>
      <c r="G9" s="3" t="s">
        <v>913</v>
      </c>
      <c r="H9" s="3" t="s">
        <v>692</v>
      </c>
      <c r="I9" s="3" t="s">
        <v>914</v>
      </c>
      <c r="J9" s="4" t="s">
        <v>71</v>
      </c>
      <c r="K9" s="5"/>
      <c r="L9" s="6" t="s">
        <v>113</v>
      </c>
      <c r="M9" s="5"/>
    </row>
    <row r="10" spans="1:13" ht="49.95" customHeight="1" x14ac:dyDescent="0.3">
      <c r="A10" s="2" t="s">
        <v>915</v>
      </c>
      <c r="B10" s="3" t="s">
        <v>94</v>
      </c>
      <c r="C10" s="3" t="s">
        <v>95</v>
      </c>
      <c r="D10" s="3" t="s">
        <v>29</v>
      </c>
      <c r="E10" s="4" t="s">
        <v>17</v>
      </c>
      <c r="F10" s="3" t="s">
        <v>890</v>
      </c>
      <c r="G10" s="3" t="s">
        <v>916</v>
      </c>
      <c r="H10" s="3" t="s">
        <v>97</v>
      </c>
      <c r="I10" s="3" t="s">
        <v>98</v>
      </c>
      <c r="J10" s="4" t="s">
        <v>99</v>
      </c>
      <c r="K10" s="5"/>
      <c r="L10" s="6" t="s">
        <v>113</v>
      </c>
      <c r="M10" s="5"/>
    </row>
    <row r="11" spans="1:13" ht="87.45" customHeight="1" x14ac:dyDescent="0.3">
      <c r="A11" s="2" t="s">
        <v>917</v>
      </c>
      <c r="B11" s="3" t="s">
        <v>94</v>
      </c>
      <c r="C11" s="3" t="s">
        <v>102</v>
      </c>
      <c r="D11" s="3" t="s">
        <v>60</v>
      </c>
      <c r="E11" s="4" t="s">
        <v>17</v>
      </c>
      <c r="F11" s="3" t="s">
        <v>884</v>
      </c>
      <c r="G11" s="3" t="s">
        <v>916</v>
      </c>
      <c r="H11" s="3" t="s">
        <v>103</v>
      </c>
      <c r="I11" s="3" t="s">
        <v>104</v>
      </c>
      <c r="J11" s="4" t="s">
        <v>99</v>
      </c>
      <c r="K11" s="5"/>
      <c r="L11" s="6" t="s">
        <v>113</v>
      </c>
      <c r="M11" s="5"/>
    </row>
    <row r="12" spans="1:13" ht="62.55" customHeight="1" x14ac:dyDescent="0.3">
      <c r="A12" s="2" t="s">
        <v>918</v>
      </c>
      <c r="B12" s="3" t="s">
        <v>94</v>
      </c>
      <c r="C12" s="3" t="s">
        <v>107</v>
      </c>
      <c r="D12" s="3" t="s">
        <v>29</v>
      </c>
      <c r="E12" s="4" t="s">
        <v>46</v>
      </c>
      <c r="F12" s="3" t="s">
        <v>919</v>
      </c>
      <c r="G12" s="3" t="s">
        <v>920</v>
      </c>
      <c r="H12" s="3" t="s">
        <v>707</v>
      </c>
      <c r="I12" s="3" t="s">
        <v>921</v>
      </c>
      <c r="J12" s="4" t="s">
        <v>99</v>
      </c>
      <c r="K12" s="5"/>
      <c r="L12" s="6" t="s">
        <v>113</v>
      </c>
      <c r="M12" s="5"/>
    </row>
    <row r="13" spans="1:13" ht="49.95" customHeight="1" x14ac:dyDescent="0.3">
      <c r="A13" s="2" t="s">
        <v>922</v>
      </c>
      <c r="B13" s="3" t="s">
        <v>923</v>
      </c>
      <c r="C13" s="3" t="s">
        <v>924</v>
      </c>
      <c r="D13" s="3" t="s">
        <v>29</v>
      </c>
      <c r="E13" s="4" t="s">
        <v>17</v>
      </c>
      <c r="F13" s="3" t="s">
        <v>890</v>
      </c>
      <c r="G13" s="3" t="s">
        <v>925</v>
      </c>
      <c r="H13" s="3" t="s">
        <v>926</v>
      </c>
      <c r="I13" s="3" t="s">
        <v>927</v>
      </c>
      <c r="J13" s="4" t="s">
        <v>653</v>
      </c>
      <c r="K13" s="5"/>
      <c r="L13" s="6" t="s">
        <v>113</v>
      </c>
      <c r="M13" s="5"/>
    </row>
    <row r="14" spans="1:13" ht="75" customHeight="1" x14ac:dyDescent="0.3">
      <c r="A14" s="2" t="s">
        <v>928</v>
      </c>
      <c r="B14" s="3" t="s">
        <v>923</v>
      </c>
      <c r="C14" s="3" t="s">
        <v>929</v>
      </c>
      <c r="D14" s="3" t="s">
        <v>29</v>
      </c>
      <c r="E14" s="4" t="s">
        <v>17</v>
      </c>
      <c r="F14" s="3" t="s">
        <v>930</v>
      </c>
      <c r="G14" s="3" t="s">
        <v>931</v>
      </c>
      <c r="H14" s="3" t="s">
        <v>932</v>
      </c>
      <c r="I14" s="3" t="s">
        <v>933</v>
      </c>
      <c r="J14" s="4" t="s">
        <v>165</v>
      </c>
      <c r="K14" s="5"/>
      <c r="L14" s="6" t="s">
        <v>113</v>
      </c>
      <c r="M14" s="5"/>
    </row>
    <row r="15" spans="1:13" ht="87.45" customHeight="1" x14ac:dyDescent="0.3">
      <c r="A15" s="2" t="s">
        <v>934</v>
      </c>
      <c r="B15" s="3" t="s">
        <v>923</v>
      </c>
      <c r="C15" s="3" t="s">
        <v>935</v>
      </c>
      <c r="D15" s="3" t="s">
        <v>60</v>
      </c>
      <c r="E15" s="4" t="s">
        <v>17</v>
      </c>
      <c r="F15" s="3" t="s">
        <v>884</v>
      </c>
      <c r="G15" s="3" t="s">
        <v>936</v>
      </c>
      <c r="H15" s="3" t="str">
        <f ca="1">"Expiry "&amp;TEXT(TODAY()-1,"mm/dd/yyyy")&amp;" (yesterday, reject)"&amp;CHAR(10)&amp;"Expiry "&amp;TEXT(TODAY(),"mm/dd/yyyy")&amp;" (today, accept)"&amp;CHAR(10)&amp;"Expiry "&amp;TEXT(TODAY()+1,"mm/dd/yyyy")&amp;" (tomorrow, accept)"</f>
        <v>Expiry 10/13/2026 (yesterday, reject)
Expiry 10/14/2026 (today, accept)
Expiry 10/15/2026 (tomorrow, accept)</v>
      </c>
      <c r="I15" s="3" t="s">
        <v>937</v>
      </c>
      <c r="J15" s="4" t="s">
        <v>653</v>
      </c>
      <c r="K15" s="5"/>
      <c r="L15" s="6" t="s">
        <v>113</v>
      </c>
      <c r="M15" s="5"/>
    </row>
    <row r="16" spans="1:13" ht="75" customHeight="1" x14ac:dyDescent="0.3">
      <c r="A16" s="2" t="s">
        <v>938</v>
      </c>
      <c r="B16" s="3" t="s">
        <v>923</v>
      </c>
      <c r="C16" s="3" t="s">
        <v>939</v>
      </c>
      <c r="D16" s="3" t="s">
        <v>29</v>
      </c>
      <c r="E16" s="4" t="s">
        <v>46</v>
      </c>
      <c r="F16" s="3" t="s">
        <v>930</v>
      </c>
      <c r="G16" s="3" t="s">
        <v>940</v>
      </c>
      <c r="H16" s="3" t="s">
        <v>941</v>
      </c>
      <c r="I16" s="3" t="s">
        <v>942</v>
      </c>
      <c r="J16" s="4" t="s">
        <v>165</v>
      </c>
      <c r="K16" s="5"/>
      <c r="L16" s="6" t="s">
        <v>113</v>
      </c>
      <c r="M16" s="5"/>
    </row>
    <row r="17" spans="1:13" ht="87.45" customHeight="1" x14ac:dyDescent="0.3">
      <c r="A17" s="2" t="s">
        <v>943</v>
      </c>
      <c r="B17" s="3" t="s">
        <v>216</v>
      </c>
      <c r="C17" s="3" t="s">
        <v>217</v>
      </c>
      <c r="D17" s="3" t="s">
        <v>29</v>
      </c>
      <c r="E17" s="4" t="s">
        <v>17</v>
      </c>
      <c r="F17" s="3" t="s">
        <v>884</v>
      </c>
      <c r="G17" s="3" t="s">
        <v>944</v>
      </c>
      <c r="H17" s="3" t="s">
        <v>945</v>
      </c>
      <c r="I17" s="3" t="s">
        <v>946</v>
      </c>
      <c r="J17" s="4" t="s">
        <v>221</v>
      </c>
      <c r="K17" s="5"/>
      <c r="L17" s="6" t="s">
        <v>113</v>
      </c>
      <c r="M17" s="5"/>
    </row>
    <row r="18" spans="1:13" ht="49.95" customHeight="1" x14ac:dyDescent="0.3">
      <c r="A18" s="2" t="s">
        <v>947</v>
      </c>
      <c r="B18" s="3" t="s">
        <v>216</v>
      </c>
      <c r="C18" s="3" t="s">
        <v>224</v>
      </c>
      <c r="D18" s="3" t="s">
        <v>29</v>
      </c>
      <c r="E18" s="4" t="s">
        <v>17</v>
      </c>
      <c r="F18" s="3" t="s">
        <v>890</v>
      </c>
      <c r="G18" s="3" t="s">
        <v>948</v>
      </c>
      <c r="H18" s="3" t="s">
        <v>226</v>
      </c>
      <c r="I18" s="3" t="s">
        <v>949</v>
      </c>
      <c r="J18" s="4" t="s">
        <v>221</v>
      </c>
      <c r="K18" s="5"/>
      <c r="L18" s="6" t="s">
        <v>113</v>
      </c>
      <c r="M18" s="5"/>
    </row>
    <row r="19" spans="1:13" ht="87.45" customHeight="1" x14ac:dyDescent="0.3">
      <c r="A19" s="2" t="s">
        <v>950</v>
      </c>
      <c r="B19" s="3" t="s">
        <v>216</v>
      </c>
      <c r="C19" s="3" t="s">
        <v>230</v>
      </c>
      <c r="D19" s="3" t="s">
        <v>60</v>
      </c>
      <c r="E19" s="4" t="s">
        <v>17</v>
      </c>
      <c r="F19" s="3" t="s">
        <v>884</v>
      </c>
      <c r="G19" s="3" t="s">
        <v>951</v>
      </c>
      <c r="H19" s="3" t="s">
        <v>232</v>
      </c>
      <c r="I19" s="3" t="s">
        <v>233</v>
      </c>
      <c r="J19" s="4" t="s">
        <v>221</v>
      </c>
      <c r="K19" s="5"/>
      <c r="L19" s="6" t="s">
        <v>113</v>
      </c>
      <c r="M19" s="5"/>
    </row>
    <row r="20" spans="1:13" ht="87.45" customHeight="1" x14ac:dyDescent="0.3">
      <c r="A20" s="2" t="s">
        <v>952</v>
      </c>
      <c r="B20" s="3" t="s">
        <v>882</v>
      </c>
      <c r="C20" s="3" t="s">
        <v>953</v>
      </c>
      <c r="D20" s="3" t="s">
        <v>82</v>
      </c>
      <c r="E20" s="4" t="s">
        <v>46</v>
      </c>
      <c r="F20" s="3" t="s">
        <v>884</v>
      </c>
      <c r="G20" s="3" t="s">
        <v>954</v>
      </c>
      <c r="H20" s="3" t="s">
        <v>156</v>
      </c>
      <c r="I20" s="3" t="s">
        <v>955</v>
      </c>
      <c r="J20" s="4" t="s">
        <v>71</v>
      </c>
      <c r="K20" s="5"/>
      <c r="L20" s="6" t="s">
        <v>113</v>
      </c>
      <c r="M20" s="5"/>
    </row>
    <row r="21" spans="1:13" ht="62.55" customHeight="1" x14ac:dyDescent="0.3">
      <c r="A21" s="2" t="s">
        <v>956</v>
      </c>
      <c r="B21" s="3" t="s">
        <v>957</v>
      </c>
      <c r="C21" s="3" t="s">
        <v>958</v>
      </c>
      <c r="D21" s="3" t="s">
        <v>238</v>
      </c>
      <c r="E21" s="4" t="s">
        <v>17</v>
      </c>
      <c r="F21" s="3" t="s">
        <v>959</v>
      </c>
      <c r="G21" s="3" t="s">
        <v>960</v>
      </c>
      <c r="H21" s="3" t="s">
        <v>961</v>
      </c>
      <c r="I21" s="3" t="s">
        <v>962</v>
      </c>
      <c r="J21" s="4" t="s">
        <v>963</v>
      </c>
      <c r="K21" s="5"/>
      <c r="L21" s="6" t="s">
        <v>113</v>
      </c>
      <c r="M21" s="5"/>
    </row>
    <row r="22" spans="1:13" ht="62.55" customHeight="1" x14ac:dyDescent="0.3">
      <c r="A22" s="2" t="s">
        <v>964</v>
      </c>
      <c r="B22" s="3" t="s">
        <v>957</v>
      </c>
      <c r="C22" s="3" t="s">
        <v>965</v>
      </c>
      <c r="D22" s="3" t="s">
        <v>130</v>
      </c>
      <c r="E22" s="4" t="s">
        <v>17</v>
      </c>
      <c r="F22" s="3" t="s">
        <v>959</v>
      </c>
      <c r="G22" s="3" t="s">
        <v>966</v>
      </c>
      <c r="H22" s="3" t="s">
        <v>967</v>
      </c>
      <c r="I22" s="3" t="s">
        <v>968</v>
      </c>
      <c r="J22" s="4" t="s">
        <v>126</v>
      </c>
      <c r="K22" s="5"/>
      <c r="L22" s="6" t="s">
        <v>113</v>
      </c>
      <c r="M22" s="5"/>
    </row>
    <row r="23" spans="1:13" ht="62.55" customHeight="1" x14ac:dyDescent="0.3">
      <c r="A23" s="2" t="s">
        <v>969</v>
      </c>
      <c r="B23" s="3" t="s">
        <v>957</v>
      </c>
      <c r="C23" s="3" t="s">
        <v>135</v>
      </c>
      <c r="D23" s="3" t="s">
        <v>29</v>
      </c>
      <c r="E23" s="4" t="s">
        <v>46</v>
      </c>
      <c r="F23" s="3" t="s">
        <v>959</v>
      </c>
      <c r="G23" s="3" t="s">
        <v>970</v>
      </c>
      <c r="H23" s="3" t="s">
        <v>971</v>
      </c>
      <c r="I23" s="3" t="s">
        <v>972</v>
      </c>
      <c r="J23" s="4" t="s">
        <v>126</v>
      </c>
      <c r="K23" s="5"/>
      <c r="L23" s="6" t="s">
        <v>113</v>
      </c>
      <c r="M23" s="5"/>
    </row>
    <row r="24" spans="1:13" ht="62.55" customHeight="1" x14ac:dyDescent="0.3">
      <c r="A24" s="2" t="s">
        <v>973</v>
      </c>
      <c r="B24" s="3" t="s">
        <v>957</v>
      </c>
      <c r="C24" s="3" t="s">
        <v>974</v>
      </c>
      <c r="D24" s="3" t="s">
        <v>60</v>
      </c>
      <c r="E24" s="4" t="s">
        <v>17</v>
      </c>
      <c r="F24" s="3" t="s">
        <v>959</v>
      </c>
      <c r="G24" s="3" t="s">
        <v>975</v>
      </c>
      <c r="H24" s="3" t="s">
        <v>976</v>
      </c>
      <c r="I24" s="3" t="s">
        <v>977</v>
      </c>
      <c r="J24" s="4" t="s">
        <v>648</v>
      </c>
      <c r="K24" s="5"/>
      <c r="L24" s="6" t="s">
        <v>113</v>
      </c>
      <c r="M24" s="5"/>
    </row>
    <row r="25" spans="1:13" ht="75" customHeight="1" x14ac:dyDescent="0.3">
      <c r="A25" s="2" t="s">
        <v>978</v>
      </c>
      <c r="B25" s="3" t="s">
        <v>957</v>
      </c>
      <c r="C25" s="3" t="s">
        <v>979</v>
      </c>
      <c r="D25" s="3" t="s">
        <v>238</v>
      </c>
      <c r="E25" s="4" t="s">
        <v>46</v>
      </c>
      <c r="F25" s="3" t="s">
        <v>980</v>
      </c>
      <c r="G25" s="3" t="s">
        <v>981</v>
      </c>
      <c r="H25" s="3" t="s">
        <v>982</v>
      </c>
      <c r="I25" s="3" t="s">
        <v>983</v>
      </c>
      <c r="J25" s="4" t="s">
        <v>648</v>
      </c>
      <c r="K25" s="5"/>
      <c r="L25" s="6" t="s">
        <v>113</v>
      </c>
      <c r="M25" s="5"/>
    </row>
    <row r="26" spans="1:13" ht="37.5" customHeight="1" x14ac:dyDescent="0.3">
      <c r="A26" s="2" t="s">
        <v>984</v>
      </c>
      <c r="B26" s="3" t="s">
        <v>957</v>
      </c>
      <c r="C26" s="3" t="s">
        <v>985</v>
      </c>
      <c r="D26" s="3" t="s">
        <v>238</v>
      </c>
      <c r="E26" s="4" t="s">
        <v>46</v>
      </c>
      <c r="F26" s="3" t="s">
        <v>986</v>
      </c>
      <c r="G26" s="3" t="s">
        <v>987</v>
      </c>
      <c r="H26" s="3" t="s">
        <v>988</v>
      </c>
      <c r="I26" s="3" t="s">
        <v>989</v>
      </c>
      <c r="J26" s="4" t="s">
        <v>648</v>
      </c>
      <c r="K26" s="5"/>
      <c r="L26" s="6" t="s">
        <v>113</v>
      </c>
      <c r="M26" s="5"/>
    </row>
    <row r="27" spans="1:13" ht="37.5" customHeight="1" x14ac:dyDescent="0.3">
      <c r="A27" s="2" t="s">
        <v>990</v>
      </c>
      <c r="B27" s="3" t="s">
        <v>957</v>
      </c>
      <c r="C27" s="3" t="s">
        <v>991</v>
      </c>
      <c r="D27" s="3" t="s">
        <v>238</v>
      </c>
      <c r="E27" s="4" t="s">
        <v>17</v>
      </c>
      <c r="F27" s="3" t="s">
        <v>992</v>
      </c>
      <c r="G27" s="3" t="s">
        <v>747</v>
      </c>
      <c r="H27" s="3" t="s">
        <v>993</v>
      </c>
      <c r="I27" s="3" t="s">
        <v>994</v>
      </c>
      <c r="J27" s="4" t="s">
        <v>648</v>
      </c>
      <c r="K27" s="5"/>
      <c r="L27" s="6" t="s">
        <v>113</v>
      </c>
      <c r="M27" s="5"/>
    </row>
    <row r="28" spans="1:13" ht="37.5" customHeight="1" x14ac:dyDescent="0.3">
      <c r="A28" s="2" t="s">
        <v>995</v>
      </c>
      <c r="B28" s="3" t="s">
        <v>307</v>
      </c>
      <c r="C28" s="3" t="s">
        <v>996</v>
      </c>
      <c r="D28" s="3" t="s">
        <v>16</v>
      </c>
      <c r="E28" s="4" t="s">
        <v>17</v>
      </c>
      <c r="F28" s="3" t="s">
        <v>997</v>
      </c>
      <c r="G28" s="3" t="s">
        <v>747</v>
      </c>
      <c r="H28" s="3" t="s">
        <v>993</v>
      </c>
      <c r="I28" s="3" t="s">
        <v>998</v>
      </c>
      <c r="J28" s="4" t="s">
        <v>648</v>
      </c>
      <c r="K28" s="5"/>
      <c r="L28" s="6" t="s">
        <v>113</v>
      </c>
      <c r="M28" s="5"/>
    </row>
    <row r="29" spans="1:13" ht="75" customHeight="1" x14ac:dyDescent="0.3">
      <c r="A29" s="2" t="s">
        <v>999</v>
      </c>
      <c r="B29" s="3" t="s">
        <v>307</v>
      </c>
      <c r="C29" s="3" t="s">
        <v>1000</v>
      </c>
      <c r="D29" s="3" t="s">
        <v>82</v>
      </c>
      <c r="E29" s="4" t="s">
        <v>17</v>
      </c>
      <c r="F29" s="3" t="s">
        <v>1001</v>
      </c>
      <c r="G29" s="3" t="s">
        <v>1002</v>
      </c>
      <c r="H29" s="3" t="s">
        <v>1003</v>
      </c>
      <c r="I29" s="3" t="s">
        <v>1004</v>
      </c>
      <c r="J29" s="4" t="s">
        <v>648</v>
      </c>
      <c r="K29" s="5"/>
      <c r="L29" s="6" t="s">
        <v>113</v>
      </c>
      <c r="M29" s="5"/>
    </row>
    <row r="30" spans="1:13" ht="49.95" customHeight="1" x14ac:dyDescent="0.3">
      <c r="A30" s="2" t="s">
        <v>1005</v>
      </c>
      <c r="B30" s="3" t="s">
        <v>307</v>
      </c>
      <c r="C30" s="3" t="s">
        <v>1006</v>
      </c>
      <c r="D30" s="3" t="s">
        <v>82</v>
      </c>
      <c r="E30" s="4" t="s">
        <v>17</v>
      </c>
      <c r="F30" s="3" t="s">
        <v>1007</v>
      </c>
      <c r="G30" s="3" t="s">
        <v>1008</v>
      </c>
      <c r="H30" s="3" t="s">
        <v>1009</v>
      </c>
      <c r="I30" s="3" t="s">
        <v>1010</v>
      </c>
      <c r="J30" s="4" t="s">
        <v>648</v>
      </c>
      <c r="K30" s="5"/>
      <c r="L30" s="6" t="s">
        <v>113</v>
      </c>
      <c r="M30" s="5"/>
    </row>
    <row r="31" spans="1:13" ht="49.95" customHeight="1" x14ac:dyDescent="0.3">
      <c r="A31" s="2" t="s">
        <v>1011</v>
      </c>
      <c r="B31" s="3" t="s">
        <v>307</v>
      </c>
      <c r="C31" s="3" t="s">
        <v>1012</v>
      </c>
      <c r="D31" s="3" t="s">
        <v>82</v>
      </c>
      <c r="E31" s="4" t="s">
        <v>17</v>
      </c>
      <c r="F31" s="3" t="s">
        <v>309</v>
      </c>
      <c r="G31" s="3" t="s">
        <v>1013</v>
      </c>
      <c r="H31" s="3" t="s">
        <v>1014</v>
      </c>
      <c r="I31" s="3" t="s">
        <v>1015</v>
      </c>
      <c r="J31" s="4" t="s">
        <v>313</v>
      </c>
      <c r="K31" s="5"/>
      <c r="L31" s="6" t="s">
        <v>113</v>
      </c>
      <c r="M31" s="5"/>
    </row>
    <row r="32" spans="1:13" ht="75" customHeight="1" x14ac:dyDescent="0.3">
      <c r="A32" s="2" t="s">
        <v>1016</v>
      </c>
      <c r="B32" s="3" t="s">
        <v>307</v>
      </c>
      <c r="C32" s="3" t="s">
        <v>1017</v>
      </c>
      <c r="D32" s="3" t="s">
        <v>238</v>
      </c>
      <c r="E32" s="4" t="s">
        <v>17</v>
      </c>
      <c r="F32" s="3" t="s">
        <v>1018</v>
      </c>
      <c r="G32" s="3" t="s">
        <v>1019</v>
      </c>
      <c r="H32" s="3" t="s">
        <v>1014</v>
      </c>
      <c r="I32" s="3" t="s">
        <v>1020</v>
      </c>
      <c r="J32" s="4" t="s">
        <v>1021</v>
      </c>
      <c r="K32" s="5"/>
      <c r="L32" s="6" t="s">
        <v>113</v>
      </c>
      <c r="M32" s="5"/>
    </row>
    <row r="33" spans="1:13" ht="37.5" customHeight="1" x14ac:dyDescent="0.3">
      <c r="A33" s="2" t="s">
        <v>1022</v>
      </c>
      <c r="B33" s="3" t="s">
        <v>307</v>
      </c>
      <c r="C33" s="3" t="s">
        <v>316</v>
      </c>
      <c r="D33" s="3" t="s">
        <v>82</v>
      </c>
      <c r="E33" s="4" t="s">
        <v>46</v>
      </c>
      <c r="F33" s="3" t="s">
        <v>1023</v>
      </c>
      <c r="G33" s="3" t="s">
        <v>318</v>
      </c>
      <c r="H33" s="3" t="s">
        <v>1024</v>
      </c>
      <c r="I33" s="3" t="s">
        <v>320</v>
      </c>
      <c r="J33" s="4" t="s">
        <v>313</v>
      </c>
      <c r="K33" s="5"/>
      <c r="L33" s="6" t="s">
        <v>113</v>
      </c>
      <c r="M33" s="5"/>
    </row>
  </sheetData>
  <autoFilter ref="A1:M33" xr:uid="{00000000-0009-0000-0000-000007000000}"/>
  <conditionalFormatting sqref="L2:L33">
    <cfRule type="cellIs" dxfId="2" priority="2" operator="equal">
      <formula>"Pass"</formula>
    </cfRule>
    <cfRule type="cellIs" dxfId="1" priority="3" operator="equal">
      <formula>"Fail"</formula>
    </cfRule>
    <cfRule type="cellIs" dxfId="0" priority="4" operator="equal">
      <formula>"Blocked"</formula>
    </cfRule>
  </conditionalFormatting>
  <dataValidations count="1">
    <dataValidation type="list" errorTitle="Invalid status" error="Choose Pass, Fail, Blocked or Not Run." sqref="L2:L33" xr:uid="{00000000-0002-0000-0700-000000000000}">
      <formula1>"Pass,Fail,Blocked,Not Run"</formula1>
    </dataValidation>
  </dataValidation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Summary</vt:lpstr>
      <vt:lpstr>Test Data</vt:lpstr>
      <vt:lpstr>Test Files</vt:lpstr>
      <vt:lpstr>Assumptions</vt:lpstr>
      <vt:lpstr>Buyer</vt:lpstr>
      <vt:lpstr>Seller</vt:lpstr>
      <vt:lpstr>Logistics</vt:lpstr>
      <vt:lpstr>Rider</vt:lpstr>
      <vt:lpstr>Buyer!Print_Titles</vt:lpstr>
      <vt:lpstr>Logistics!Print_Titles</vt:lpstr>
      <vt:lpstr>Rider!Print_Titles</vt:lpstr>
      <vt:lpstr>Seller!Print_Titles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 Reyben Del Mundo</cp:lastModifiedBy>
  <cp:revision>0</cp:revision>
  <dcterms:created xsi:type="dcterms:W3CDTF">2026-10-07T02:30:00Z</dcterms:created>
  <dcterms:modified xsi:type="dcterms:W3CDTF">2026-10-14T15:57:08Z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8D65DBEFD2E94029903C821E105ED49D_12</vt:lpwstr>
  </property>
  <property fmtid="{D5CDD505-2E9C-101B-9397-08002B2CF9AE}" pid="3" name="KSOProductBuildVer">
    <vt:lpwstr>1033-12.1.0.28485</vt:lpwstr>
  </property>
  <property fmtid="{D5CDD505-2E9C-101B-9397-08002B2CF9AE}" pid="4" name="CalculationRule">
    <vt:i4>0</vt:i4>
  </property>
</Properties>
</file>